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mc:Choice Requires="x15">
      <x15ac:absPath xmlns:x15ac="http://schemas.microsoft.com/office/spreadsheetml/2010/11/ac" url="D:\Midori_Stuff\jxec.https\jxec\jxlsc-frontend\src\main\resources\resources-default\"/>
    </mc:Choice>
  </mc:AlternateContent>
  <xr:revisionPtr revIDLastSave="0" documentId="13_ncr:1_{8B7701BA-4EC2-4A1F-9C5C-A9C80B323182}" xr6:coauthVersionLast="47" xr6:coauthVersionMax="47" xr10:uidLastSave="{00000000-0000-0000-0000-000000000000}"/>
  <bookViews>
    <workbookView xWindow="28800" yWindow="-6795" windowWidth="28830" windowHeight="13605" xr2:uid="{00000000-000D-0000-FFFF-FFFF00000000}"/>
  </bookViews>
  <sheets>
    <sheet name="Issue Navigat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<sst xmlns="http://schemas.openxmlformats.org/spreadsheetml/2006/main" count="305" uniqueCount="127">
  <si>
    <t>&lt;jt:hyperlink type="url" address="http://www.midori-global.com/products/better-excel-exporter-for-jira?utm_source=jxlsc&amp;utm_medium=template&amp;utm_campaign=gh&amp;utm_content=issue-navigator" value="help »"/&gt;</t>
  </si>
  <si>
    <t>&lt;mt:autosize/&gt;Created at ${userDateTimeFormatter.withStyle('COMPLETE').format(currentDate)} by ${user.displayName} with Better Excel Exporter for Jira Cloud</t>
  </si>
  <si>
    <t>&lt;mt:execute script="field-helper-tool.groovy"/&gt;&lt;mt:execute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</si>
  <si>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items="${issues}" var="issue"&gt;&lt;jt:forEach items="${issueNavigator.getIssueTableLayout(issues).columns}" var="columnLayoutItem" copyRight="true" copyColumnWidthsRight="false" onLoopProcessed="${cellTypeTagLoopListener}"&gt;${issueNavigator.getFieldValue(issue, columnLayoutItem)}&lt;/jt:forEach&gt;&lt;/jt:forEach&gt;</t>
  </si>
  <si>
    <t>&lt;jt:forEach items="${issueNavigator.getIssueTableLayout(issues).columns}" var="columnLayoutItem" copyRight="true" copyColumnWidthsRight="false"&gt;&lt;jt:if test="${issueNavigator.getFieldSumFormula(columnLayoutItem, cell) != null}" elseAction="clear"&gt;&lt;jt:formula text="${issueNavigator.getFieldSumFormula(columnLayoutItem, cell)}"/&gt;&lt;/jt:if&gt;&lt;/jt:forEach&gt;</t>
  </si>
  <si>
    <t>&lt;mt:execute script="issue-navigator.groovy"/&gt;&lt;jt:forEach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</si>
  <si>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&lt;jt:forEach items="${issueNavigator.getIssueTableLayout(issues).columns}" var="columnLayoutItem" copyRight="true" copyColumnWidthsRight="false"&gt;${i18n.getText(columnLayoutItem.navigableField.columnHeadingKey)}&lt;mt:celltype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</si>
  <si>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format="${issueNavigator.getFieldFormat(columnLayoutItem)}"/&gt;&lt;/jt:forEach&gt;</t>
  </si>
  <si>
    <t>${i18n.getText(columnLayoutItem.navigableField.columnHeadingKey)}&lt;mt:celltype type="${issueNavigator.getFieldCellType(columnLayoutItem)}" format="${issueNavigator.getFieldFormat(columnLayoutItem)}"/&gt;</t>
  </si>
  <si>
    <t>${i18n.getText(columnLayoutItem.navigableField.columnHeadingKey)}</t>
  </si>
  <si>
    <t>Key</t>
  </si>
  <si>
    <t>Summary</t>
  </si>
  <si>
    <t>Assignee</t>
  </si>
  <si>
    <t>Comments</t>
  </si>
  <si>
    <t>Created</t>
  </si>
  <si>
    <t>Creator</t>
  </si>
  <si>
    <t>Description</t>
  </si>
  <si>
    <t>Due</t>
  </si>
  <si>
    <t>Labels</t>
  </si>
  <si>
    <t>Last Viewed</t>
  </si>
  <si>
    <t>Links</t>
  </si>
  <si>
    <t>P</t>
  </si>
  <si>
    <t>Parent</t>
  </si>
  <si>
    <t>Project</t>
  </si>
  <si>
    <t>Reporter</t>
  </si>
  <si>
    <t>Resolution</t>
  </si>
  <si>
    <t>Resolved</t>
  </si>
  <si>
    <t>Sprint</t>
  </si>
  <si>
    <t>Start date</t>
  </si>
  <si>
    <t>Status</t>
  </si>
  <si>
    <t>Status Category</t>
  </si>
  <si>
    <t>Status Category Changed</t>
  </si>
  <si>
    <t>Story point estimate</t>
  </si>
  <si>
    <t>T</t>
  </si>
  <si>
    <t>Updated</t>
  </si>
  <si>
    <t>Watches</t>
  </si>
  <si>
    <t>&lt;jt:forEach items="${issueNavigator.getIssueTableLayout(issues).columns}" var="columnLayoutItem" copyRight="true" copyColumnWidthsRight="false" onLoopProcessed="${cellTypeTagLoopListener}"&gt;${issueNavigator.getFieldValue(issue, columnLayoutItem)}&lt;/jt:forEach&gt;&lt;/jt:forEach&gt;</t>
  </si>
  <si>
    <t>&lt;jt:forEach items="${issueNavigator.getIssueTableLayout(issues).columns}" var="columnLayoutItem" copyRight="true" copyColumnWidthsRight="false" onLoopProcessed="${cellTypeTagLoopListener}"&gt;${issueNavigator.getFieldValue(issue, columnLayoutItem)}&lt;/jt:forEach&gt;</t>
  </si>
  <si>
    <t>${issueNavigator.getFieldValue(issue, columnLayoutItem)}&lt;/jt:forEach&gt;</t>
  </si>
  <si>
    <t>${issueNavigator.getFieldValue(issue, columnLayoutItem)}</t>
  </si>
  <si>
    <t>ERICK-47|https://starshipsyxx.atlassian.net/browse/ERICK-47</t>
  </si>
  <si>
    <t>ERICK-47</t>
  </si>
  <si>
    <t>Implement Android chord keyboard - full logical layout|https://starshipsyxx.atlassian.net/browse/ERICK-47</t>
  </si>
  <si>
    <t>Implement Android chord keyboard - full logical layout</t>
  </si>
  <si>
    <t>Khair Muhammad</t>
  </si>
  <si>
    <t>Vatsal Unadkat</t>
  </si>
  <si>
    <t>Integrate the Sprint 1 joystick library PoC with the existing 2-button IME prototype to deliver a fully functional chord keyboard.
HOW THE INPUT SYSTEM WORKS:
* User swipes the LEFT dial to select a character group (direction = group)
* User swipes the RIGHT dial to select a color (color = position within group)
* Chord fires on simultaneous release: left-direction + right-color → character injected
LEFT DIAL — LOGICAL LAYOUT (Normal mode):
N: a b c d e '
NE: f g h i j /
E: k l m n o ;
SE: p q r s t -
S: u v w x y =
SW: z \ [ ] `
W: 1 2 3 4 5
NW: 6 7 8 9 0
LEFT DIAL — SHIFT/CAPS LOCK mode:
N: A B C D E "
NE: F G H I J ?
E: K L M N O :
SE: P Q R S T _
S: U V W X Y +
SW: Z | { } ~
W: ! @ # $ %
NW: ^ &amp; * ( )
RIGHT DIAL — COLOR → CHARACTER POSITION:
Red=1st, Orange=2nd, Yellow=3rd, Green=4th, Blue=5th, Black=6th/symbol
(Indigo and Violet are unused for now — reserved for future use)
RIGHT DIAL ONLY — SINGLE SWIPE (utility):
N: Home (Shift → End)
NE: Comma (Shift → &lt;)
E: Spacebar
SE: Full stop / Period (Shift → &gt;)
S: Enter / New line
SW: Toggle Shift
W: Backspace
NW: Toggle Caps Lock
RIGHT DIAL ONLY — DOUBLE SWIPE (navigation):
N: Up arrow NE: Page Up
E: Right arrow SE: Page Down
S: Down arrow SW: Delete key
W: Left arrow NW: Tab
SHIFT BEHAVIOUR: Shift auto-releases after exactly one character is typed.
Caps Lock stays on until explicitly toggled off.
Acceptance Criteria:
* All 8 left-dial directions correctly detected (≥90% accuracy in 20-chord manual test)
* All 8 active right-dial colors correctly identified (Red, Orange, Yellow, Green, Blue, Indigo, Violet, Black)
* Every character in the logical layout is typeable via chord and injects correctly system-wide
* Shift auto-releases after 1 character; Caps Lock persists until toggled
* All 8 single-swipe right-only utility functions work in any app
* Optional - All 8 double-swipe right-only navigation functions work in any app
* No ANR or crash during 4-minute continuous use
* Tested on physical Android device (API 33+) and emulator</t>
  </si>
  <si>
    <t/>
  </si>
  <si>
    <t>ERICK-48, ERICK-57</t>
  </si>
  <si>
    <t>High</t>
  </si>
  <si>
    <t>ERICK-41 Android IME Core (Epic)|https://starshipsyxx.atlassian.net/browse/ERICK-41</t>
  </si>
  <si>
    <t>ERICK-41 Android IME Core (Epic)</t>
  </si>
  <si>
    <t>ERICK - Agile Methods</t>
  </si>
  <si>
    <t>Done</t>
  </si>
  <si>
    <t>SCRUM Sprint 2</t>
  </si>
  <si>
    <t>Task</t>
  </si>
  <si>
    <t>ERICK-48|https://starshipsyxx.atlassian.net/browse/ERICK-48</t>
  </si>
  <si>
    <t>ERICK-48</t>
  </si>
  <si>
    <t>Android settings menu - basic shell with layout switcher|https://starshipsyxx.atlassian.net/browse/ERICK-48</t>
  </si>
  <si>
    <t>Android settings menu - basic shell with layout switcher</t>
  </si>
  <si>
    <t>Nazgul Engvall</t>
  </si>
  <si>
    <t>Build the settings screen for the Android IME, accessible from a settings icon on the keyboard surface.
Sprint 2 scope: shell + layout switcher UI only. The Efficiency layout does not exist yet - wire the toggle so it's ready to activate in Sprint 3.
Acceptance Criteria:
* Settings screen accessible from keyboard surface (long-press or dedicated icon)
* Two-option layout toggle: "Logical (A–Z)" and "Efficiency (coming soon)"
* "Efficiency" option is visible but disabled with a "Coming in Sprint 3" label
* "Logical" selected by default
* Selection persisted via DataStore across reboots
* Screen dismisses cleanly and keyboard resumes
* No crashes on open/close/rotate</t>
  </si>
  <si>
    <t>Low</t>
  </si>
  <si>
    <t>ERICK-49|https://starshipsyxx.atlassian.net/browse/ERICK-49</t>
  </si>
  <si>
    <t>ERICK-49</t>
  </si>
  <si>
    <t>Implement iOS chord keyboard - full logical layout|https://starshipsyxx.atlassian.net/browse/ERICK-49</t>
  </si>
  <si>
    <t>Implement iOS chord keyboard - full logical layout</t>
  </si>
  <si>
    <t>Xingxing Yang</t>
  </si>
  <si>
    <t>Build the iOS Custom Keyboard Extension (Swift/SwiftUI) with the same full chord input system as the Android version. All character injection is done via UITextDocumentProxy.
LEFT DIAL — LOGICAL LAYOUT (Normal mode):
N: a b c d e '
NE: f g h i j /
E: k l m n o ;
SE: p q r s t -
S: u v w x y =
SW: z \ [ ] `
W: 1 2 3 4 5
NW: 6 7 8 9 0
LEFT DIAL — SHIFT/CAPS LOCK mode:
N: A B C D E "
NE: F G H I J ?
E: K L M N O :
SE: P Q R S T _
S: U V W X Y +
SW: Z | { } ~
W: ! @ # $ %
NW: ^ &amp; * ( )
RIGHT DIAL — COLOR → CHARACTER POSITION:
Red=1st, Orange=2nd, Yellow=3rd, Green=4th, Blue=5th, Black=6th/symbol
(Indigo and Violet are unused for now — reserved for future use)
RIGHT DIAL ONLY — SINGLE SWIPE (utility):
N: Home (Shift → End)
NE: Comma (Shift → &lt;)
E: Spacebar
SE: Full stop / Period (Shift → &gt;)
S: Enter / New line
SW: Toggle Shift
W: Backspace
NW: Toggle Caps Lock
RIGHT DIAL ONLY — DOUBLE SWIPE (navigation):
N: Up arrow NE: Page Up
E: Right arrow SE: Page Down
S: Down arrow SW: Delete key
W: Left arrow NW: Tab
SHIFT BEHAVIOUR: Shift auto-releases after exactly one character is typed.
Caps Lock stays on until explicitly toggled off.
Acceptance Criteria:
* Keyboard extension declared in Info.plist and selectable in iOS Settings → General → Keyboard → Add New Keyboard
* All 8 left-dial directions correctly detected (≥90% accuracy in manual test)
* All 8 active right-dial colors correctly identified
* Every character in the logical layout injects correctly into any iOS app via UITextDocumentProxy
* Shift auto-releases after 1 character; Caps Lock persists until toggled
* All 8 single-swipe right-only utility functions work
* Optional - All 8 double-swipe right-only navigation functions work
* Tested on physical iPhone and iOS Simulator (iOS 16+)
* No crashes during 5-minute test</t>
  </si>
  <si>
    <t>ERICK-50</t>
  </si>
  <si>
    <t>ERICK-44 iOS IME Core (Epic)|https://starshipsyxx.atlassian.net/browse/ERICK-44</t>
  </si>
  <si>
    <t>ERICK-44 iOS IME Core (Epic)</t>
  </si>
  <si>
    <t>ERICK-54|https://starshipsyxx.atlassian.net/browse/ERICK-54</t>
  </si>
  <si>
    <t>ERICK-54</t>
  </si>
  <si>
    <t>Customer and laundry workflow state machine + money system|https://starshipsyxx.atlassian.net/browse/ERICK-54</t>
  </si>
  <si>
    <t>Customer and laundry workflow state machine + money system</t>
  </si>
  <si>
    <t>Vilgot Mattsson</t>
  </si>
  <si>
    <t>Getting started with Godot: [https://youtu.be/LOhfqjmasi0|https://youtu.be/LOhfqjmasi0|smart-link] (Watch first 40 min)
Check other tutorials on YouTube to understand game states and use AI to guide you to code.
----
Implement the core game loop as a GDScript state machine (or Godot StateMachine node). One customer completes the full laundry workflow per cycle. Typing prompts are triggered via the typing engine's signals; use a stub/mock for early development before ERICK-S2-09 is integrated.
State flow:
IDLE
→ CUSTOMER_ARRIVES (customer walks in, drops laundry — triggered by customer arrival event)
→ AWAITING_PICKUP (word prompt appears: player types word to pick up laundry basket)
→ AWAITING_MACHINE_DROP (word prompt: player types word to put basket in machine)
→ MACHINE_WASHING (auto-timer: 10s for basic machine; emits wash_complete when done)
→ AWAITING_MACHINE_PICKUP (word prompt: player types word to remove from machine)
→ AWAITING_SHELF_PLACE (word prompt: player types word to put on shelf)
→ AWAITING_CUSTOMER_RETURN (waits for customer return event, triggered by a timer or game clock)
→ AWAITING_SERVE (word prompt: player types word to hand laundry to customer)
→ MONEY_COLLECTED (reward added, money_earned signal emitted)
→ IDLE
Money system:
* Fixed reward per completed customer (default: 10 coins, configurable)
* Running total stored in a GameState autoload
* money_updated(new_total: int) signal emitted on every change
Acceptance Criteria:
* All 9 states implemented with correct transitions
* Each AWAITING_ state: emits a prompt_needed(word: String, state_id: String) signal; waits for word_completed
* MACHINE_WASHING: 10s countdown timer, emits wash_complete on finish
* MONEY_COLLECTED: adds reward to GameState.money, emits money_updated
* State machine is decoupled from animation — emits events, does not move characters directly
* Full workflow runs end-to-end in an isolated test scene
* Current state logged to Godot output at every transition for debugging
* Money total visible in a HUD Label in the test scene</t>
  </si>
  <si>
    <t>Group_2</t>
  </si>
  <si>
    <t>Highest</t>
  </si>
  <si>
    <t>ERICK-43 Game Development (Epic)|https://starshipsyxx.atlassian.net/browse/ERICK-43</t>
  </si>
  <si>
    <t>ERICK-43 Game Development (Epic)</t>
  </si>
  <si>
    <t>ERICK-55|https://starshipsyxx.atlassian.net/browse/ERICK-55</t>
  </si>
  <si>
    <t>ERICK-55</t>
  </si>
  <si>
    <t>Build laundry store main game scene in Godot|https://starshipsyxx.atlassian.net/browse/ERICK-55</t>
  </si>
  <si>
    <t>Build laundry store main game scene in Godot</t>
  </si>
  <si>
    <t>Adi</t>
  </si>
  <si>
    <t xml:space="preserve">Getting started with Godot: [https://youtu.be/LOhfqjmasi0|https://youtu.be/LOhfqjmasi0|smart-link]
YouTube Tutorial:  [https://www.youtube.com/playlist?list=PLpwc3ughKbZcJq-Sxew6OippNqlVc924q|https://www.youtube.com/playlist?list=PLpwc3ughKbZcJq-Sxew6OippNqlVc924q|smart-link] 
Code from similar game: [https://github.com/luis-l/SpaceJusticiar|https://github.com/luis-l/SpaceJusticiar|smart-link] 
----
Set up the primary in-game scene (LaundryStore.tscn) for the laundry store. Use assets or placeholder coloured rectangles. Define all spatial anchor points the backend state machine will reference.
Scene must include named Node2D markers at:
* CustomerEntrance - where customer spawns
* DropOffPoint - where customer drops laundry
* MachineSlot_1 - position of washing machine 1
* ShelfSlot_1 - laundry shelf position
* PickupCounter - where customer is served at the end
* CameraRoot - camera anchor at correct zoom/position
Acceptance Criteria:
* LaundryStore.tscn opens and runs without errors in Godot editor
* All 6 named marker nodes present with correct positions
* Background and environment filled with assets or clearly labelled placeholders
* Target resolution decided and documented (suggest 1920×1080 landscape)
* Camera correctly frames the full scene at target resolution
* Scene committed to feature/game-godot branch
* A README note added explaining the scene node structure
----
Asset Links:
* [https://github.com/godotengine/awesome-godot|https://github.com/godotengine/awesome-godot|smart-link] 
* [https://www.reddit.com/r/godot/comments/1ixujq0/my_big_list_of_godot_resources_both_free_and_paid/|https://www.reddit.com/r/godot/comments/1ixujq0/my_big_list_of_godot_resources_both_free_and_paid/|smart-link] 
* [https://itch.io/search?type=games&amp;q=laundry&amp;classification=assets|https://itch.io/search?type=games&amp;q=laundry&amp;classification=assets|smart-link] 
* [https://www.kenney.nl/assets|https://www.kenney.nl/assets|smart-link] 
* [https://www.openpixelproject.com/?page_id=227|https://www.openpixelproject.com/?page_id=227|smart-link] 
* [https://jashi-psx.itch.io/public-laundry-psx-asset-pack|https://jashi-psx.itch.io/public-laundry-psx-asset-pack|smart-link] </t>
  </si>
  <si>
    <t>Medium</t>
  </si>
  <si>
    <t>ERICK-52|https://starshipsyxx.atlassian.net/browse/ERICK-52</t>
  </si>
  <si>
    <t>ERICK-52</t>
  </si>
  <si>
    <t>Core typing engine - word display, input detection, and match system|https://starshipsyxx.atlassian.net/browse/ERICK-52</t>
  </si>
  <si>
    <t>Core typing engine - word display, input detection, and match system</t>
  </si>
  <si>
    <t>Taimoor Athar Malik</t>
  </si>
  <si>
    <t>Getting started with Godot: [https://youtu.be/LOhfqjmasi0|https://youtu.be/LOhfqjmasi0|smart-link]  (Watch first 20 min)
YouTube Tutorial:  [https://www.youtube.com/playlist?list=PLpwc3ughKbZcJq-Sxew6OippNqlVc924q|https://www.youtube.com/playlist?list=PLpwc3ughKbZcJq-Sxew6OippNqlVc924q|smart-link] 
Code from similar game: [https://github.com/luis-l/SpaceJusticiar|https://github.com/luis-l/SpaceJusticiar|smart-link] 
----
Implement the decoupled typing mechanic that all other game systems build on. Words or letters appear on screen above any target node. The engine detects keyboard input and signals completion - it knows nothing about game state.
Word prompt display:
* WordPrompt.tscn: a Label (or RichTextLabel) positioned above a given Node2D
* Shows target word with typed portion highlighted (e.g. bold or colour change)
Input matching:
* Listens to _input() or a connected InputHandler singleton
* Correct character: advances match index, updates highlight
* Wrong character: flashes red / brief shake, does not advance
* Word fully matched: emits word_completed(word_id: String) signal
* Supports both keyboard (for development) and the custom IME input stream
Word pool:
* Words and letters loaded from res://data/word_list.json
* JSON format: {"letters": ["a","b",...], "easy": ["cat","dog",...], "medium": [...], "hard": [...]}
* At least 26 single letters + 30 words across difficulty tiers
Acceptance Criteria:
* WordPrompt scene displays any given string above a Node2D anchor
* Correct typing highlighted character by character in real time
* Wrong character triggers visible error state (does not advance)
* word_completed signal fires with correct word_id on full match
* Word list loadable from JSON; missing file shows a graceful error, not a crash
* System has zero dependency on game state, customer logic, or scene layout
* Testable in an isolated test scene (TestTyping.tscn committed to repo)</t>
  </si>
  <si>
    <t>ERICK-56|https://starshipsyxx.atlassian.net/browse/ERICK-56</t>
  </si>
  <si>
    <t>ERICK-56</t>
  </si>
  <si>
    <t>Implement customer walk-in, idle, and walk-out animations with path following|https://starshipsyxx.atlassian.net/browse/ERICK-56</t>
  </si>
  <si>
    <t>Implement customer walk-in, idle, and walk-out animations with path following</t>
  </si>
  <si>
    <t>Angeliki Paneri</t>
  </si>
  <si>
    <t xml:space="preserve">Getting started with Godot: [https://youtu.be/LOhfqjmasi0|https://youtu.be/LOhfqjmasi0|smart-link]
YouTube Tutorial:  [https://www.youtube.com/playlist?list=PLpwc3ughKbZcJq-Sxew6OippNqlVc924q|https://www.youtube.com/playlist?list=PLpwc3ughKbZcJq-Sxew6OippNqlVc924q|smart-link] 
Animation Tutorial: [https://youtu.be/-f1bHR0iiEY?si=CpQmzstDJR1Dpp9w|https://youtu.be/-f1bHR0iiEY?si=CpQmzstDJR1Dpp9w|smart-link] 
----
Find CC0/MIT-licensed 2D character sprites suitable for laundry store customers. Must include frames for idle and walking, or at minimum a static sprite that can be used as a placeholder for walk animation.
Implement the customer character scene in Godot using Path2D + PathFollow2D for movement and AnimatedSprite2D for animations. Two visit paths are needed: drop-off visit and pickup visit.
Walk paths:
* Drop-off visit: CustomerEntrance → DropOffPoint (plays walk), idle at DropOffPoint, DropOffPoint → CustomerEntrance (plays walk-out)
* Pickup visit: CustomerEntrance → PickupCounter (plays walk), idle at PickupCounter, PickupCounter → CustomerEntrance (plays walk-out)
Acceptance Criteria:
* Customer.tscn created with AnimatedSprite2D using sprites from ERICK-S2-07 (or placeholder shape)
* walk_in and walk_out animations play during path movement
* idle animation plays when customer is stopped at a marker point
* Drop-off and pickup path variants both work correctly
* At least 1 customer can complete a full drop-off and return-pickup cycle without errors
* Character z-index correct (appears in front of background, behind UI)
* Paths defined using Path2D nodes in the scene, not hardcoded coordinates
----
Asset Links:
* [https://github.com/godotengine/awesome-godot|https://github.com/godotengine/awesome-godot]
* [https://www.reddit.com/r/godot/comments/1ixujq0/my_big_list_of_godot_resources_both_free_and_paid/|https://www.reddit.com/r/godot/comments/1ixujq0/my_big_list_of_godot_resources_both_free_and_paid/]
* [https://itch.io/search?type=games&amp;q=laundry&amp;classification=assets|https://itch.io/search?type=games&amp;q=laundry&amp;classification=assets]
* [https://www.kenney.nl/assets|https://www.kenney.nl/assets]
* [https://www.openpixelproject.com/?page_id=227|https://www.openpixelproject.com/?page_id=227]
* [https://jashi-psx.itch.io/public-laundry-psx-asset-pack|https://jashi-psx.itch.io/public-laundry-psx-asset-pack|smart-link] </t>
  </si>
  <si>
    <t>ERICK-53|https://starshipsyxx.atlassian.net/browse/ERICK-53</t>
  </si>
  <si>
    <t>ERICK-53</t>
  </si>
  <si>
    <t>Main menu, level select, and in-game settings screens|https://starshipsyxx.atlassian.net/browse/ERICK-53</t>
  </si>
  <si>
    <t>Main menu, level select, and in-game settings screens</t>
  </si>
  <si>
    <t>Irshad</t>
  </si>
  <si>
    <t>Getting started with Godot: [https://youtu.be/LOhfqjmasi0|https://youtu.be/LOhfqjmasi0|smart-link]  (Watch first 20 min)
How to build a menu screen: [https://youtu.be/zHYkcJyE52g?si=VwFVjvYtxEu2oHEl|https://youtu.be/zHYkcJyE52g?si=VwFVjvYtxEu2oHEl|smart-link] 
----
Build all navigation screens for the game. Gameplay integration comes later — focus is correct scene structure and full navigation flow.
Screens:
# MainMenu.tscn — Title, [Play] button → LevelSelect, [Settings] button → Settings, [Quit] button
# LevelSelect.tscn — Shows Level 1 (unlocked), placeholder Level 2+ (locked/greyed). [Level 1] → LaundryStore scene. [Back] → MainMenu
# Settings.tscn — Difficulty selector (5 options, radio buttons or OptionButton). Current difficulty read/written via GameConfig autoload. [Back] → MainMenu
Acceptance Criteria:
* All 3 scenes exist and load without errors
* Full navigation loop works: Main → Level Select → (back) → Settings → (back) → Main
* Difficulty selection in Settings updates GameConfig.current_difficulty immediately
* Level 1 button launches the LaundryStore scene (or placeholder scene if not ready)
* Locked levels shown but not clickable
* No crashes on any navigation path including rapid clicking
* Scene transitions use a simple fade or instant cut (no black screen hang)</t>
  </si>
  <si>
    <t>ERICK-66|https://starshipsyxx.atlassian.net/browse/ERICK-66</t>
  </si>
  <si>
    <t>ERICK-66</t>
  </si>
  <si>
    <t>Restructure Project for Multi-Platform Support (Android &amp; iOS)|https://starshipsyxx.atlassian.net/browse/ERICK-66</t>
  </si>
  <si>
    <t>Restructure Project for Multi-Platform Support (Android &amp; iOS)</t>
  </si>
  <si>
    <t>Reorganized the project repository to support both Android and iOS development with separate platform-specific folders and configurations.
*Technical Details:*
* Android build artifacts (.gradle, .kotlin, .idea) relocated to android/ folder
* Created iOS-specific .gitignore for Xcode/Swift projects
* Root directory now contains only shared resources (documentation, LICENSE, README)
*Acceptance Criteria:*
* Android project builds successfully from android folder
* All Android IDE settings preserved in new location
* iOS folder structure created with proper .gitignore
* Documentation updated to reflect new structure
* Root directory contains only shared resources</t>
  </si>
  <si>
    <t>ERICK-39 Project Infrastructure (Epic)|https://starshipsyxx.atlassian.net/browse/ERICK-39</t>
  </si>
  <si>
    <t>ERICK-39 Project Infrastructure (Epic)</t>
  </si>
  <si>
    <t>ERICK-40|https://starshipsyxx.atlassian.net/browse/ERICK-40</t>
  </si>
  <si>
    <t>ERICK-40</t>
  </si>
  <si>
    <t>Design app logo and finalize project typography|https://starshipsyxx.atlassian.net/browse/ERICK-40</t>
  </si>
  <si>
    <t>Design app logo and finalize project typography</t>
  </si>
  <si>
    <t>Create a logo for the ERICK keyboard app and select the typography (fonts) to be used consistently across the app and any supporting materials.
Acceptance Criteria:
* Logo designed with light and dark versions
* Typography (font family and sizes) defined for headings, body, and key labels
* All source files and exports (PNG, SVG) added to the GitHub repository
* Logo and font choices documented in the UI/UX Specification template</t>
  </si>
  <si>
    <t>ERICK-42 Keyboard UI &amp; Visual Design (Epic)|https://starshipsyxx.atlassian.net/browse/ERICK-42</t>
  </si>
  <si>
    <t>ERICK-42 Keyboard UI &amp; Visual Design (Epic)</t>
  </si>
  <si>
    <t>&lt;jt:if test="${issueNavigator.getFieldSumFormula(columnLayoutItem, cell) != null}" elseAction="clear"&gt;&lt;jt:formula text="${issueNavigator.getFieldSumFormula(columnLayoutItem, cell)}"/&gt;&lt;/jt:if&gt;&lt;/jt:forEach&gt;</t>
  </si>
  <si>
    <t>&lt;jt:if test="${issueNavigator.getFieldSumFormula(columnLayoutItem, cell) != null}" elseAction="clear"&gt;&lt;jt:formula text="${issueNavigator.getFieldSumFormula(columnLayoutItem, cell)}"/&gt;&lt;/jt:if&gt;</t>
  </si>
  <si>
    <t>&lt;jt:formula text="${issueNavigator.getFieldSumFormula(columnLayoutItem, cell)}"/&gt;&lt;/jt:if&gt;</t>
  </si>
  <si>
    <t>&lt;jt:formula text="${issueNavigator.getFieldSumFormula(columnLayoutItem, cell)}"/&gt;</t>
  </si>
  <si>
    <t>Created at 08/Mar/26 5:04 pm by Vatsal Unadkat with Better Excel Exporter for Jira Cloud</t>
  </si>
  <si>
    <t>help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</si>
</sst>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dd/mmm/yyyy hh:mm"/>
    <numFmt numFmtId="166" formatCode="[Color10]"/>
  </numFmts>
  <fonts count="7" x14ac:knownFonts="1">
    <font>
      <sz val="11"/>
      <color theme="1" rgb="000000"/>
      <name val="Calibri"/>
      <family val="2"/>
      <scheme val="minor"/>
    </font>
    <font>
      <b/>
      <sz val="11"/>
      <color rgb="FF000000"/>
      <name val="Calibri"/>
      <family val="2"/>
      <scheme val="minor"/>
    </font>
    <font>
      <sz val="11"/>
      <color rgb="FF000000"/>
      <name val="Calibri"/>
      <family val="2"/>
      <scheme val="minor"/>
    </font>
    <font>
      <sz val="8"/>
      <color theme="0" tint="-0.499984740745262" rgb="FFFFFF"/>
      <name val="Calibri"/>
      <family val="2"/>
      <charset val="238"/>
      <scheme val="minor"/>
    </font>
    <font>
      <u/>
      <sz val="11"/>
      <color theme="10" rgb="0000FF"/>
      <name val="Calibri"/>
      <family val="2"/>
      <charset val="238"/>
      <scheme val="minor"/>
    </font>
    <font>
      <sz val="8"/>
      <color rgb="FF0064FF"/>
      <name val="Calibri"/>
      <family val="2"/>
      <charset val="238"/>
      <scheme val="minor"/>
    </font>
    <font>
      <name val="Calibri"/>
      <sz val="11.0"/>
      <color indexed="12"/>
      <u val="none"/>
      <charset val="0"/>
    </font>
  </fonts>
  <fills count="4">
    <fill>
      <patternFill patternType="none"/>
    </fill>
    <fill>
      <patternFill patternType="gray125"/>
    </fill>
    <fill>
      <patternFill patternType="solid">
        <fgColor rgb="FFDDDDDD"/>
        <bgColor indexed="64"/>
      </patternFill>
    </fill>
    <fill>
      <patternFill patternType="solid">
        <fgColor rgb="FFF2F2F2"/>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0" fillId="0" borderId="0"/>
  </cellStyleXfs>
  <cellXfs count="12">
    <xf numFmtId="0" fontId="0" fillId="0" borderId="0" xfId="0"/>
    <xf numFmtId="0" fontId="1" fillId="0" borderId="0" xfId="0" applyNumberFormat="1" applyFont="1" applyAlignment="1">
      <alignment vertical="top" wrapText="1"/>
    </xf>
    <xf numFmtId="0" fontId="2" fillId="0" borderId="0" xfId="0" applyNumberFormat="1" applyFont="1" applyAlignment="1">
      <alignment vertical="top" wrapText="1"/>
    </xf>
    <xf numFmtId="0" fontId="2" fillId="0" borderId="0" xfId="0" applyNumberFormat="1" applyFont="1" applyBorder="1" applyAlignment="1">
      <alignment vertical="top" wrapText="1"/>
    </xf>
    <xf numFmtId="0" fontId="3" fillId="0" borderId="0" xfId="0" applyFont="1" applyAlignment="1">
      <alignment vertical="center"/>
    </xf>
    <xf numFmtId="0" fontId="5" fillId="0" borderId="0" xfId="1" applyFont="1" applyAlignment="1">
      <alignment vertical="center"/>
    </xf>
    <xf numFmtId="0" fontId="1" fillId="2" borderId="2" xfId="0" applyNumberFormat="1" applyFont="1" applyFill="1" applyBorder="1" applyAlignment="1">
      <alignment vertical="top" wrapText="1"/>
    </xf>
    <xf numFmtId="0" fontId="1" fillId="3" borderId="1" xfId="0" applyNumberFormat="1" applyFont="1" applyFill="1" applyBorder="1" applyAlignment="1">
      <alignment vertical="top" wrapText="1"/>
    </xf>
    <xf numFmtId="0" fontId="6" fillId="0" borderId="0" xfId="0" applyNumberFormat="1" applyFont="true" applyAlignment="1">
      <alignment vertical="top" wrapText="1"/>
    </xf>
    <xf numFmtId="164" fontId="2" fillId="0" borderId="0" xfId="0" applyNumberFormat="true" applyFont="1" applyAlignment="1">
      <alignment vertical="top" wrapText="1"/>
    </xf>
    <xf numFmtId="165" fontId="2" fillId="0" borderId="0" xfId="0" applyNumberFormat="true" applyFont="1" applyAlignment="1">
      <alignment vertical="top" wrapText="1"/>
    </xf>
    <xf numFmtId="166" fontId="2" fillId="0" borderId="0" xfId="0" applyNumberFormat="true"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2F2F2"/>
      <color rgb="FFF2F2F3"/>
      <color rgb="FFDDDDDD"/>
      <color rgb="FF000000"/>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10" Target="https://starshipsyxx.atlassian.net/browse/ERICK-49" TargetMode="External" Type="http://schemas.openxmlformats.org/officeDocument/2006/relationships/hyperlink"/>
    <Relationship Id="rId11" Target="https://starshipsyxx.atlassian.net/browse/ERICK-44" TargetMode="External" Type="http://schemas.openxmlformats.org/officeDocument/2006/relationships/hyperlink"/>
    <Relationship Id="rId12" Target="https://starshipsyxx.atlassian.net/browse/ERICK-54" TargetMode="External" Type="http://schemas.openxmlformats.org/officeDocument/2006/relationships/hyperlink"/>
    <Relationship Id="rId13" Target="https://starshipsyxx.atlassian.net/browse/ERICK-54" TargetMode="External" Type="http://schemas.openxmlformats.org/officeDocument/2006/relationships/hyperlink"/>
    <Relationship Id="rId14" Target="https://starshipsyxx.atlassian.net/browse/ERICK-43" TargetMode="External" Type="http://schemas.openxmlformats.org/officeDocument/2006/relationships/hyperlink"/>
    <Relationship Id="rId15" Target="https://starshipsyxx.atlassian.net/browse/ERICK-55" TargetMode="External" Type="http://schemas.openxmlformats.org/officeDocument/2006/relationships/hyperlink"/>
    <Relationship Id="rId16" Target="https://starshipsyxx.atlassian.net/browse/ERICK-55" TargetMode="External" Type="http://schemas.openxmlformats.org/officeDocument/2006/relationships/hyperlink"/>
    <Relationship Id="rId17" Target="https://starshipsyxx.atlassian.net/browse/ERICK-43" TargetMode="External" Type="http://schemas.openxmlformats.org/officeDocument/2006/relationships/hyperlink"/>
    <Relationship Id="rId18" Target="https://starshipsyxx.atlassian.net/browse/ERICK-52" TargetMode="External" Type="http://schemas.openxmlformats.org/officeDocument/2006/relationships/hyperlink"/>
    <Relationship Id="rId19" Target="https://starshipsyxx.atlassian.net/browse/ERICK-52" TargetMode="External" Type="http://schemas.openxmlformats.org/officeDocument/2006/relationships/hyperlink"/>
    <Relationship Id="rId2" Target="../media/image1.png" Type="http://schemas.openxmlformats.org/officeDocument/2006/relationships/image"/>
    <Relationship Id="rId20" Target="https://starshipsyxx.atlassian.net/browse/ERICK-43" TargetMode="External" Type="http://schemas.openxmlformats.org/officeDocument/2006/relationships/hyperlink"/>
    <Relationship Id="rId21" Target="https://starshipsyxx.atlassian.net/browse/ERICK-56" TargetMode="External" Type="http://schemas.openxmlformats.org/officeDocument/2006/relationships/hyperlink"/>
    <Relationship Id="rId22" Target="https://starshipsyxx.atlassian.net/browse/ERICK-56" TargetMode="External" Type="http://schemas.openxmlformats.org/officeDocument/2006/relationships/hyperlink"/>
    <Relationship Id="rId23" Target="https://starshipsyxx.atlassian.net/browse/ERICK-43" TargetMode="External" Type="http://schemas.openxmlformats.org/officeDocument/2006/relationships/hyperlink"/>
    <Relationship Id="rId24" Target="https://starshipsyxx.atlassian.net/browse/ERICK-53" TargetMode="External" Type="http://schemas.openxmlformats.org/officeDocument/2006/relationships/hyperlink"/>
    <Relationship Id="rId25" Target="https://starshipsyxx.atlassian.net/browse/ERICK-53" TargetMode="External" Type="http://schemas.openxmlformats.org/officeDocument/2006/relationships/hyperlink"/>
    <Relationship Id="rId26" Target="https://starshipsyxx.atlassian.net/browse/ERICK-43" TargetMode="External" Type="http://schemas.openxmlformats.org/officeDocument/2006/relationships/hyperlink"/>
    <Relationship Id="rId27" Target="https://starshipsyxx.atlassian.net/browse/ERICK-66" TargetMode="External" Type="http://schemas.openxmlformats.org/officeDocument/2006/relationships/hyperlink"/>
    <Relationship Id="rId28" Target="https://starshipsyxx.atlassian.net/browse/ERICK-66" TargetMode="External" Type="http://schemas.openxmlformats.org/officeDocument/2006/relationships/hyperlink"/>
    <Relationship Id="rId29" Target="https://starshipsyxx.atlassian.net/browse/ERICK-39" TargetMode="External" Type="http://schemas.openxmlformats.org/officeDocument/2006/relationships/hyperlink"/>
    <Relationship Id="rId3" Target="https://starshipsyxx.atlassian.net/browse/ERICK-47" TargetMode="External" Type="http://schemas.openxmlformats.org/officeDocument/2006/relationships/hyperlink"/>
    <Relationship Id="rId30" Target="https://starshipsyxx.atlassian.net/browse/ERICK-40" TargetMode="External" Type="http://schemas.openxmlformats.org/officeDocument/2006/relationships/hyperlink"/>
    <Relationship Id="rId31" Target="https://starshipsyxx.atlassian.net/browse/ERICK-40" TargetMode="External" Type="http://schemas.openxmlformats.org/officeDocument/2006/relationships/hyperlink"/>
    <Relationship Id="rId32" Target="https://starshipsyxx.atlassian.net/browse/ERICK-42" TargetMode="External" Type="http://schemas.openxmlformats.org/officeDocument/2006/relationships/hyperlink"/>
    <Relationship Id="rId33" Target="http://www.midori-global.com/products/better-excel-exporter-for-jira?utm_source=jxlsc&amp;utm_medium=template&amp;utm_campaign=gh&amp;utm_content=issue-navigator" TargetMode="External" Type="http://schemas.openxmlformats.org/officeDocument/2006/relationships/hyperlink"/>
    <Relationship Id="rId4" Target="https://starshipsyxx.atlassian.net/browse/ERICK-47" TargetMode="External" Type="http://schemas.openxmlformats.org/officeDocument/2006/relationships/hyperlink"/>
    <Relationship Id="rId5" Target="https://starshipsyxx.atlassian.net/browse/ERICK-41" TargetMode="External" Type="http://schemas.openxmlformats.org/officeDocument/2006/relationships/hyperlink"/>
    <Relationship Id="rId6" Target="https://starshipsyxx.atlassian.net/browse/ERICK-48" TargetMode="External" Type="http://schemas.openxmlformats.org/officeDocument/2006/relationships/hyperlink"/>
    <Relationship Id="rId7" Target="https://starshipsyxx.atlassian.net/browse/ERICK-48" TargetMode="External" Type="http://schemas.openxmlformats.org/officeDocument/2006/relationships/hyperlink"/>
    <Relationship Id="rId8" Target="https://starshipsyxx.atlassian.net/browse/ERICK-41" TargetMode="External" Type="http://schemas.openxmlformats.org/officeDocument/2006/relationships/hyperlink"/>
    <Relationship Id="rId9" Target="https://starshipsyxx.atlassian.net/browse/ERICK-49"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zoomScaleNormal="100" workbookViewId="0">
      <pane ySplit="1" topLeftCell="A2" activePane="bottomLeft" state="frozen"/>
      <selection pane="bottomLeft"/>
    </sheetView>
  </sheetViews>
  <sheetFormatPr defaultColWidth="9.109375" defaultRowHeight="14.4" x14ac:dyDescent="0.3"/>
  <cols>
    <col min="27" max="16384" style="2" width="9.109375" collapsed="true"/>
    <col min="26" max="26" style="2" width="11.046875" collapsed="true" customWidth="true"/>
    <col min="25" max="25" style="2" width="13.734375" collapsed="true" customWidth="true"/>
    <col min="24" max="24" style="2" width="6.30078125" collapsed="true" customWidth="true"/>
    <col min="23" max="23" style="2" width="23.5078125" collapsed="true" customWidth="true"/>
    <col min="22" max="22" style="2" width="28.6015625" collapsed="true" customWidth="true"/>
    <col min="21" max="21" style="2" width="18.90234375" collapsed="true" customWidth="true"/>
    <col min="20" max="20" style="2" width="8.890625" collapsed="true" customWidth="true"/>
    <col min="19" max="19" style="2" width="13.734375" collapsed="true" customWidth="true"/>
    <col min="18" max="18" style="2" width="16.48828125" collapsed="true" customWidth="true"/>
    <col min="17" max="17" style="2" width="13.734375" collapsed="true" customWidth="true"/>
    <col min="16" max="16" style="2" width="13.1953125" collapsed="true" customWidth="true"/>
    <col min="15" max="15" style="2" width="16.00390625" collapsed="true" customWidth="true"/>
    <col min="14" max="14" style="2" width="22.3046875" collapsed="true" customWidth="true"/>
    <col min="13" max="13" style="2" width="32.78515625" collapsed="true" customWidth="true"/>
    <col min="12" max="12" style="2" width="6.2578125" collapsed="true" customWidth="true"/>
    <col min="11" max="11" style="2" width="20.10546875" collapsed="true" customWidth="true"/>
    <col min="10" max="10" style="2" width="19.6015625" collapsed="true" customWidth="true"/>
    <col min="9" max="9" style="2" width="9.74609375" collapsed="true" customWidth="true"/>
    <col min="8" max="8" style="2" width="13.734375" collapsed="true" customWidth="true"/>
    <col min="7" max="7" style="2" width="118.5" collapsed="true" customWidth="true"/>
    <col min="6" max="6" style="2" width="16.00390625" collapsed="true" customWidth="true"/>
    <col min="5" max="5" style="2" width="13.62109375" collapsed="true" customWidth="true"/>
    <col min="4" max="4" style="2" width="13.12890625" collapsed="true" customWidth="true"/>
    <col min="3" max="3" style="2" width="18.265625" collapsed="true" customWidth="true"/>
    <col min="1" max="1" customWidth="true" style="2" width="10.4921875" collapsed="false"/>
    <col min="2" max="2" style="2" width="52.13671875" collapsed="false" customWidth="true"/>
  </cols>
  <sheetData>
    <row r="1" spans="1:1" s="1" customFormat="1" x14ac:dyDescent="0.3">
      <c r="A1" s="6" t="s">
        <v>10</v>
      </c>
      <c r="B1" s="6" t="s">
        <v>11</v>
      </c>
      <c r="C1" s="6" t="s">
        <v>12</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c r="S1" s="6" t="s">
        <v>28</v>
      </c>
      <c r="T1" s="6" t="s">
        <v>29</v>
      </c>
      <c r="U1" s="6" t="s">
        <v>30</v>
      </c>
      <c r="V1" s="6" t="s">
        <v>31</v>
      </c>
      <c r="W1" s="6" t="s">
        <v>32</v>
      </c>
      <c r="X1" s="6" t="s">
        <v>33</v>
      </c>
      <c r="Y1" s="6" t="s">
        <v>34</v>
      </c>
      <c r="Z1" s="6" t="s">
        <v>35</v>
      </c>
    </row>
    <row r="2" spans="1:1" ht="878.5" x14ac:dyDescent="0.3" customHeight="true">
      <c r="A2" s="8" t="s">
        <v>41</v>
      </c>
      <c r="B2" s="8" t="s">
        <v>43</v>
      </c>
      <c r="C2" s="2" t="s">
        <v>44</v>
      </c>
      <c r="D2" s="2" t="n">
        <v>0.0</v>
      </c>
      <c r="E2" s="9" t="n">
        <v>46081.92628709491</v>
      </c>
      <c r="F2" s="2" t="s">
        <v>45</v>
      </c>
      <c r="G2" s="2" t="s">
        <v>46</v>
      </c>
      <c r="H2" s="9" t="n">
        <v>46087.0</v>
      </c>
      <c r="I2" s="2" t="s">
        <v>47</v>
      </c>
      <c r="J2" s="10" t="n">
        <v>46089.69901108796</v>
      </c>
      <c r="K2" s="2" t="s">
        <v>48</v>
      </c>
      <c r="L2" s="2" t="s">
        <v>49</v>
      </c>
      <c r="M2" s="8" t="s">
        <v>51</v>
      </c>
      <c r="N2" s="2" t="s">
        <v>52</v>
      </c>
      <c r="O2" s="2" t="s">
        <v>45</v>
      </c>
      <c r="P2" s="2" t="s">
        <v>53</v>
      </c>
      <c r="Q2" s="9" t="n">
        <v>46088.522624895835</v>
      </c>
      <c r="R2" s="2" t="s">
        <v>54</v>
      </c>
      <c r="S2" s="9" t="n">
        <v>46083.0</v>
      </c>
      <c r="T2" s="11" t="s">
        <v>53</v>
      </c>
      <c r="U2" s="11" t="s">
        <v>53</v>
      </c>
      <c r="V2" s="9" t="n">
        <v>46088.522625219906</v>
      </c>
      <c r="W2" s="2" t="n">
        <v>7.0</v>
      </c>
      <c r="X2" s="2" t="s">
        <v>55</v>
      </c>
      <c r="Y2" s="9" t="n">
        <v>46088.52262520833</v>
      </c>
      <c r="Z2" s="2" t="n">
        <v>1.0</v>
      </c>
    </row>
    <row r="3" spans="1:1" ht="187.25" x14ac:dyDescent="0.3" customHeight="true">
      <c r="A3" s="8" t="s">
        <v>57</v>
      </c>
      <c r="B3" s="8" t="s">
        <v>59</v>
      </c>
      <c r="C3" s="2" t="s">
        <v>60</v>
      </c>
      <c r="D3" s="2" t="n">
        <v>3.0</v>
      </c>
      <c r="E3" s="9" t="n">
        <v>46081.929763622684</v>
      </c>
      <c r="F3" s="2" t="s">
        <v>45</v>
      </c>
      <c r="G3" s="2" t="s">
        <v>61</v>
      </c>
      <c r="H3" s="9" t="n">
        <v>46087.0</v>
      </c>
      <c r="I3" s="2" t="s">
        <v>47</v>
      </c>
      <c r="J3" s="10" t="n">
        <v>46088.52256777778</v>
      </c>
      <c r="K3" s="2" t="s">
        <v>41</v>
      </c>
      <c r="L3" s="2" t="s">
        <v>62</v>
      </c>
      <c r="M3" s="8" t="s">
        <v>51</v>
      </c>
      <c r="N3" s="2" t="s">
        <v>52</v>
      </c>
      <c r="O3" s="2" t="s">
        <v>45</v>
      </c>
      <c r="P3" s="2" t="s">
        <v>53</v>
      </c>
      <c r="Q3" s="9" t="n">
        <v>46086.742454872685</v>
      </c>
      <c r="R3" s="2" t="s">
        <v>54</v>
      </c>
      <c r="S3" s="9" t="n">
        <v>46083.0</v>
      </c>
      <c r="T3" s="11" t="s">
        <v>53</v>
      </c>
      <c r="U3" s="11" t="s">
        <v>53</v>
      </c>
      <c r="V3" s="9" t="n">
        <v>46086.74245510417</v>
      </c>
      <c r="W3" s="2" t="n">
        <v>2.0</v>
      </c>
      <c r="X3" s="2" t="s">
        <v>55</v>
      </c>
      <c r="Y3" s="9" t="n">
        <v>46087.80441862268</v>
      </c>
      <c r="Z3" s="2" t="n">
        <v>2.0</v>
      </c>
    </row>
    <row r="4" spans="1:1" s="3" customFormat="1" x14ac:dyDescent="0.3" ht="806.5" customHeight="true">
      <c r="A4" s="8" t="s">
        <v>64</v>
      </c>
      <c r="B4" s="8" t="s">
        <v>66</v>
      </c>
      <c r="C4" s="2" t="s">
        <v>67</v>
      </c>
      <c r="D4" s="2" t="n">
        <v>0.0</v>
      </c>
      <c r="E4" s="9" t="n">
        <v>46081.93138105324</v>
      </c>
      <c r="F4" s="2" t="s">
        <v>45</v>
      </c>
      <c r="G4" s="2" t="s">
        <v>68</v>
      </c>
      <c r="H4" s="9" t="n">
        <v>46087.0</v>
      </c>
      <c r="I4" s="2" t="s">
        <v>47</v>
      </c>
      <c r="J4" s="10" t="n">
        <v>46087.40861372685</v>
      </c>
      <c r="K4" s="2" t="s">
        <v>69</v>
      </c>
      <c r="L4" s="2" t="s">
        <v>49</v>
      </c>
      <c r="M4" s="8" t="s">
        <v>71</v>
      </c>
      <c r="N4" s="2" t="s">
        <v>52</v>
      </c>
      <c r="O4" s="2" t="s">
        <v>45</v>
      </c>
      <c r="P4" s="2" t="s">
        <v>53</v>
      </c>
      <c r="Q4" s="9" t="n">
        <v>46089.69889189815</v>
      </c>
      <c r="R4" s="2" t="s">
        <v>54</v>
      </c>
      <c r="S4" s="9" t="n">
        <v>46083.0</v>
      </c>
      <c r="T4" s="11" t="s">
        <v>53</v>
      </c>
      <c r="U4" s="11" t="s">
        <v>53</v>
      </c>
      <c r="V4" s="9" t="n">
        <v>46089.6988921875</v>
      </c>
      <c r="W4" s="2" t="n">
        <v>7.0</v>
      </c>
      <c r="X4" s="2" t="s">
        <v>55</v>
      </c>
      <c r="Y4" s="9" t="n">
        <v>46089.698892175926</v>
      </c>
      <c r="Z4" s="2" t="n">
        <v>1.0</v>
      </c>
    </row>
    <row r="5" spans="1:1" x14ac:dyDescent="0.3" ht="532.75" customHeight="true">
      <c r="A5" s="8" t="s">
        <v>73</v>
      </c>
      <c r="B5" s="8" t="s">
        <v>75</v>
      </c>
      <c r="C5" s="2" t="s">
        <v>76</v>
      </c>
      <c r="D5" s="2" t="n">
        <v>0.0</v>
      </c>
      <c r="E5" s="9" t="n">
        <v>46081.97516469908</v>
      </c>
      <c r="F5" s="2" t="s">
        <v>45</v>
      </c>
      <c r="G5" s="2" t="s">
        <v>77</v>
      </c>
      <c r="H5" s="9" t="n">
        <v>46087.0</v>
      </c>
      <c r="I5" s="2" t="s">
        <v>78</v>
      </c>
      <c r="J5" s="10" t="n">
        <v>46087.40856775463</v>
      </c>
      <c r="K5" s="2" t="s">
        <v>47</v>
      </c>
      <c r="L5" s="2" t="s">
        <v>79</v>
      </c>
      <c r="M5" s="8" t="s">
        <v>81</v>
      </c>
      <c r="N5" s="2" t="s">
        <v>52</v>
      </c>
      <c r="O5" s="2" t="s">
        <v>45</v>
      </c>
      <c r="P5" s="2" t="s">
        <v>53</v>
      </c>
      <c r="Q5" s="9" t="n">
        <v>46089.69880665509</v>
      </c>
      <c r="R5" s="2" t="s">
        <v>54</v>
      </c>
      <c r="S5" s="9" t="n">
        <v>46083.0</v>
      </c>
      <c r="T5" s="11" t="s">
        <v>53</v>
      </c>
      <c r="U5" s="11" t="s">
        <v>53</v>
      </c>
      <c r="V5" s="9" t="n">
        <v>46089.698806886576</v>
      </c>
      <c r="W5" s="2" t="n">
        <v>7.0</v>
      </c>
      <c r="X5" s="2" t="s">
        <v>55</v>
      </c>
      <c r="Y5" s="9" t="n">
        <v>46089.698806886576</v>
      </c>
      <c r="Z5" s="2" t="n">
        <v>1.0</v>
      </c>
    </row>
    <row r="6" ht="561.5" customHeight="true">
      <c r="A6" s="8" t="s">
        <v>83</v>
      </c>
      <c r="B6" s="8" t="s">
        <v>85</v>
      </c>
      <c r="C6" s="2" t="s">
        <v>86</v>
      </c>
      <c r="D6" s="2" t="n">
        <v>4.0</v>
      </c>
      <c r="E6" s="9" t="n">
        <v>46081.977363564816</v>
      </c>
      <c r="F6" s="2" t="s">
        <v>45</v>
      </c>
      <c r="G6" s="2" t="s">
        <v>87</v>
      </c>
      <c r="H6" s="9" t="n">
        <v>46087.0</v>
      </c>
      <c r="I6" s="2" t="s">
        <v>47</v>
      </c>
      <c r="J6" s="10" t="n">
        <v>46086.713187835645</v>
      </c>
      <c r="K6" s="2" t="s">
        <v>47</v>
      </c>
      <c r="L6" s="2" t="s">
        <v>88</v>
      </c>
      <c r="M6" s="8" t="s">
        <v>81</v>
      </c>
      <c r="N6" s="2" t="s">
        <v>52</v>
      </c>
      <c r="O6" s="2" t="s">
        <v>45</v>
      </c>
      <c r="P6" s="2" t="s">
        <v>53</v>
      </c>
      <c r="Q6" s="9" t="n">
        <v>46087.38704883102</v>
      </c>
      <c r="R6" s="2" t="s">
        <v>54</v>
      </c>
      <c r="S6" s="9" t="n">
        <v>46083.0</v>
      </c>
      <c r="T6" s="11" t="s">
        <v>53</v>
      </c>
      <c r="U6" s="11" t="s">
        <v>53</v>
      </c>
      <c r="V6" s="9" t="n">
        <v>46087.38704916667</v>
      </c>
      <c r="W6" s="2" t="n">
        <v>5.0</v>
      </c>
      <c r="X6" s="2" t="s">
        <v>55</v>
      </c>
      <c r="Y6" s="9" t="n">
        <v>46087.38704915509</v>
      </c>
      <c r="Z6" s="2" t="n">
        <v>2.0</v>
      </c>
    </row>
    <row r="7" ht="547.25" customHeight="true">
      <c r="A7" s="8" t="s">
        <v>90</v>
      </c>
      <c r="B7" s="8" t="s">
        <v>92</v>
      </c>
      <c r="C7" s="2" t="s">
        <v>93</v>
      </c>
      <c r="D7" s="2" t="n">
        <v>2.0</v>
      </c>
      <c r="E7" s="9" t="n">
        <v>46081.954868229164</v>
      </c>
      <c r="F7" s="2" t="s">
        <v>45</v>
      </c>
      <c r="G7" s="2" t="s">
        <v>94</v>
      </c>
      <c r="H7" s="9" t="n">
        <v>46087.0</v>
      </c>
      <c r="I7" s="2" t="s">
        <v>78</v>
      </c>
      <c r="J7" s="10" t="n">
        <v>46086.9919297338</v>
      </c>
      <c r="K7" s="2" t="s">
        <v>47</v>
      </c>
      <c r="L7" s="2" t="s">
        <v>79</v>
      </c>
      <c r="M7" s="8" t="s">
        <v>81</v>
      </c>
      <c r="N7" s="2" t="s">
        <v>52</v>
      </c>
      <c r="O7" s="2" t="s">
        <v>45</v>
      </c>
      <c r="P7" s="2" t="s">
        <v>53</v>
      </c>
      <c r="Q7" s="9" t="n">
        <v>46086.99924974537</v>
      </c>
      <c r="R7" s="2" t="s">
        <v>54</v>
      </c>
      <c r="S7" s="9" t="n">
        <v>46083.0</v>
      </c>
      <c r="T7" s="11" t="s">
        <v>53</v>
      </c>
      <c r="U7" s="11" t="s">
        <v>53</v>
      </c>
      <c r="V7" s="9" t="n">
        <v>46086.999249953704</v>
      </c>
      <c r="W7" s="2" t="n">
        <v>5.0</v>
      </c>
      <c r="X7" s="2" t="s">
        <v>55</v>
      </c>
      <c r="Y7" s="9" t="n">
        <v>46087.432863229165</v>
      </c>
      <c r="Z7" s="2" t="n">
        <v>2.0</v>
      </c>
    </row>
    <row r="8" ht="532.75" customHeight="true">
      <c r="A8" s="8" t="s">
        <v>96</v>
      </c>
      <c r="B8" s="8" t="s">
        <v>98</v>
      </c>
      <c r="C8" s="2" t="s">
        <v>99</v>
      </c>
      <c r="D8" s="2" t="n">
        <v>1.0</v>
      </c>
      <c r="E8" s="9" t="n">
        <v>46081.97829802083</v>
      </c>
      <c r="F8" s="2" t="s">
        <v>45</v>
      </c>
      <c r="G8" s="2" t="s">
        <v>100</v>
      </c>
      <c r="H8" s="9" t="n">
        <v>46087.0</v>
      </c>
      <c r="I8" s="2" t="s">
        <v>47</v>
      </c>
      <c r="J8" s="10" t="n">
        <v>46086.70979804398</v>
      </c>
      <c r="K8" s="2" t="s">
        <v>47</v>
      </c>
      <c r="L8" s="2" t="s">
        <v>88</v>
      </c>
      <c r="M8" s="8" t="s">
        <v>81</v>
      </c>
      <c r="N8" s="2" t="s">
        <v>52</v>
      </c>
      <c r="O8" s="2" t="s">
        <v>45</v>
      </c>
      <c r="P8" s="2" t="s">
        <v>53</v>
      </c>
      <c r="Q8" s="9" t="n">
        <v>46086.510728125</v>
      </c>
      <c r="R8" s="2" t="s">
        <v>54</v>
      </c>
      <c r="S8" s="9" t="n">
        <v>46083.0</v>
      </c>
      <c r="T8" s="11" t="s">
        <v>53</v>
      </c>
      <c r="U8" s="11" t="s">
        <v>53</v>
      </c>
      <c r="V8" s="9" t="n">
        <v>46086.5107283912</v>
      </c>
      <c r="W8" s="2" t="n">
        <v>4.0</v>
      </c>
      <c r="X8" s="2" t="s">
        <v>55</v>
      </c>
      <c r="Y8" s="9" t="n">
        <v>46086.5107283912</v>
      </c>
      <c r="Z8" s="2" t="n">
        <v>2.0</v>
      </c>
    </row>
    <row r="9" ht="331.25" customHeight="true">
      <c r="A9" s="8" t="s">
        <v>102</v>
      </c>
      <c r="B9" s="8" t="s">
        <v>104</v>
      </c>
      <c r="C9" s="2" t="s">
        <v>105</v>
      </c>
      <c r="D9" s="2" t="n">
        <v>1.0</v>
      </c>
      <c r="E9" s="9" t="n">
        <v>46081.95893577546</v>
      </c>
      <c r="F9" s="2" t="s">
        <v>45</v>
      </c>
      <c r="G9" s="2" t="s">
        <v>106</v>
      </c>
      <c r="H9" s="9" t="n">
        <v>46087.0</v>
      </c>
      <c r="I9" s="2" t="s">
        <v>47</v>
      </c>
      <c r="J9" s="10" t="n">
        <v>46086.468207164355</v>
      </c>
      <c r="K9" s="2" t="s">
        <v>47</v>
      </c>
      <c r="L9" s="2" t="s">
        <v>88</v>
      </c>
      <c r="M9" s="8" t="s">
        <v>81</v>
      </c>
      <c r="N9" s="2" t="s">
        <v>52</v>
      </c>
      <c r="O9" s="2" t="s">
        <v>45</v>
      </c>
      <c r="P9" s="2" t="s">
        <v>53</v>
      </c>
      <c r="Q9" s="9" t="n">
        <v>46086.77935611111</v>
      </c>
      <c r="R9" s="2" t="s">
        <v>54</v>
      </c>
      <c r="S9" s="9" t="n">
        <v>46083.0</v>
      </c>
      <c r="T9" s="11" t="s">
        <v>53</v>
      </c>
      <c r="U9" s="11" t="s">
        <v>53</v>
      </c>
      <c r="V9" s="9" t="n">
        <v>46086.77935641204</v>
      </c>
      <c r="W9" s="2" t="n">
        <v>3.0</v>
      </c>
      <c r="X9" s="2" t="s">
        <v>55</v>
      </c>
      <c r="Y9" s="9" t="n">
        <v>46086.77935640046</v>
      </c>
      <c r="Z9" s="2" t="n">
        <v>1.0</v>
      </c>
    </row>
    <row r="10" ht="216.0" customHeight="true">
      <c r="A10" s="8" t="s">
        <v>108</v>
      </c>
      <c r="B10" s="8" t="s">
        <v>110</v>
      </c>
      <c r="C10" s="2" t="s">
        <v>45</v>
      </c>
      <c r="D10" s="2" t="n">
        <v>1.0</v>
      </c>
      <c r="E10" s="9" t="n">
        <v>46086.52184393519</v>
      </c>
      <c r="F10" s="2" t="s">
        <v>45</v>
      </c>
      <c r="G10" s="2" t="s">
        <v>111</v>
      </c>
      <c r="H10" s="9" t="n">
        <v>46087.0</v>
      </c>
      <c r="I10" s="2" t="s">
        <v>47</v>
      </c>
      <c r="J10" s="10" t="n">
        <v>46086.70688291667</v>
      </c>
      <c r="K10" s="2" t="s">
        <v>47</v>
      </c>
      <c r="L10" s="2" t="s">
        <v>79</v>
      </c>
      <c r="M10" s="8" t="s">
        <v>113</v>
      </c>
      <c r="N10" s="2" t="s">
        <v>52</v>
      </c>
      <c r="O10" s="2" t="s">
        <v>45</v>
      </c>
      <c r="P10" s="2" t="s">
        <v>53</v>
      </c>
      <c r="Q10" s="9" t="n">
        <v>46086.70810787037</v>
      </c>
      <c r="R10" s="2" t="s">
        <v>54</v>
      </c>
      <c r="S10" s="9" t="n">
        <v>46086.0</v>
      </c>
      <c r="T10" s="11" t="s">
        <v>53</v>
      </c>
      <c r="U10" s="11" t="s">
        <v>53</v>
      </c>
      <c r="V10" s="9" t="n">
        <v>46086.70810806713</v>
      </c>
      <c r="W10" s="2" t="n">
        <v>3.0</v>
      </c>
      <c r="X10" s="2" t="s">
        <v>55</v>
      </c>
      <c r="Y10" s="9" t="n">
        <v>46086.70810806713</v>
      </c>
      <c r="Z10" s="2" t="n">
        <v>1.0</v>
      </c>
    </row>
    <row r="11" ht="115.25" customHeight="true">
      <c r="A11" s="8" t="s">
        <v>115</v>
      </c>
      <c r="B11" s="8" t="s">
        <v>117</v>
      </c>
      <c r="C11" s="2" t="s">
        <v>45</v>
      </c>
      <c r="D11" s="2" t="n">
        <v>0.0</v>
      </c>
      <c r="E11" s="9" t="n">
        <v>46079.6927616088</v>
      </c>
      <c r="F11" s="2" t="s">
        <v>45</v>
      </c>
      <c r="G11" s="2" t="s">
        <v>118</v>
      </c>
      <c r="H11" s="9" t="n">
        <v>46087.0</v>
      </c>
      <c r="I11" s="2" t="s">
        <v>47</v>
      </c>
      <c r="J11" s="10" t="n">
        <v>46086.69677071759</v>
      </c>
      <c r="K11" s="2" t="s">
        <v>47</v>
      </c>
      <c r="L11" s="2" t="s">
        <v>62</v>
      </c>
      <c r="M11" s="8" t="s">
        <v>120</v>
      </c>
      <c r="N11" s="2" t="s">
        <v>52</v>
      </c>
      <c r="O11" s="2" t="s">
        <v>45</v>
      </c>
      <c r="P11" s="2" t="s">
        <v>53</v>
      </c>
      <c r="Q11" s="9" t="n">
        <v>46086.70831410879</v>
      </c>
      <c r="R11" s="2" t="s">
        <v>54</v>
      </c>
      <c r="S11" s="9" t="n">
        <v>46083.0</v>
      </c>
      <c r="T11" s="11" t="s">
        <v>53</v>
      </c>
      <c r="U11" s="11" t="s">
        <v>53</v>
      </c>
      <c r="V11" s="9" t="n">
        <v>46086.7083143287</v>
      </c>
      <c r="W11" s="2" t="n">
        <v>2.0</v>
      </c>
      <c r="X11" s="2" t="s">
        <v>55</v>
      </c>
      <c r="Y11" s="9" t="n">
        <v>46086.7083199537</v>
      </c>
      <c r="Z11" s="2" t="n">
        <v>1.0</v>
      </c>
    </row>
    <row r="12">
      <c r="A12" s="7" t="s">
        <f>COUNTA(A2:A11)</f>
      </c>
      <c r="B12" s="7"/>
      <c r="C12" s="7"/>
      <c r="D12" s="7"/>
      <c r="E12" s="7"/>
      <c r="F12" s="7"/>
      <c r="G12" s="7"/>
      <c r="H12" s="7"/>
      <c r="I12" s="7"/>
      <c r="J12" s="7"/>
      <c r="K12" s="7"/>
      <c r="L12" s="7"/>
      <c r="M12" s="7"/>
      <c r="N12" s="7"/>
      <c r="O12" s="7"/>
      <c r="P12" s="7"/>
      <c r="Q12" s="7"/>
      <c r="R12" s="7"/>
      <c r="S12" s="7"/>
      <c r="T12" s="7"/>
      <c r="U12" s="7"/>
      <c r="V12" s="7"/>
      <c r="W12" s="7" t="s">
        <f>SUM(W2:W11)</f>
      </c>
      <c r="X12" s="7"/>
      <c r="Y12" s="7"/>
      <c r="Z12" s="7" t="s">
        <f>SUM(Z2:Z11)</f>
      </c>
    </row>
    <row r="13">
      <c r="A13" s="4" t="s">
        <v>125</v>
      </c>
    </row>
    <row r="14">
      <c r="A14" s="5" t="s">
        <v>126</v>
      </c>
    </row>
  </sheetData>
  <hyperlinks>
    <hyperlink ref="A2" r:id="rId3"/>
    <hyperlink ref="B2" r:id="rId4"/>
    <hyperlink ref="M2" r:id="rId5"/>
    <hyperlink ref="A3" r:id="rId6"/>
    <hyperlink ref="B3" r:id="rId7"/>
    <hyperlink ref="M3" r:id="rId8"/>
    <hyperlink ref="A4" r:id="rId9"/>
    <hyperlink ref="B4" r:id="rId10"/>
    <hyperlink ref="M4" r:id="rId11"/>
    <hyperlink ref="A5" r:id="rId12"/>
    <hyperlink ref="B5" r:id="rId13"/>
    <hyperlink ref="M5" r:id="rId14"/>
    <hyperlink ref="A6" r:id="rId15"/>
    <hyperlink ref="B6" r:id="rId16"/>
    <hyperlink ref="M6" r:id="rId17"/>
    <hyperlink ref="A7" r:id="rId18"/>
    <hyperlink ref="B7" r:id="rId19"/>
    <hyperlink ref="M7" r:id="rId20"/>
    <hyperlink ref="A8" r:id="rId21"/>
    <hyperlink ref="B8" r:id="rId22"/>
    <hyperlink ref="M8" r:id="rId23"/>
    <hyperlink ref="A9" r:id="rId24"/>
    <hyperlink ref="B9" r:id="rId25"/>
    <hyperlink ref="M9" r:id="rId26"/>
    <hyperlink ref="A10" r:id="rId27"/>
    <hyperlink ref="B10" r:id="rId28"/>
    <hyperlink ref="M10" r:id="rId29"/>
    <hyperlink ref="A11" r:id="rId30"/>
    <hyperlink ref="B11" r:id="rId31"/>
    <hyperlink ref="M11" r:id="rId32"/>
    <hyperlink ref="A14" r:id="rId33"/>
  </hyperlinks>
  <pageMargins left="0.7" right="0.7" top="0.75" bottom="0.75" header="0.3" footer="0.3"/>
  <pageSetup orientation="portrait" r:id="rId1"/>
  <headerFooter>
    <oddHeader>&amp;L&amp;"-,Bold"&amp;9Excel (Non-Empty Fields) (Jira)&amp;R&amp;9Created at Sun Mar 08 16:04:29 UTC 2026 by Vatsal Unadkat with Better Excel Exporter for Jira Cloud</oddHeader>
    <oddFooter>&amp;C&amp;9Page &amp;P</oddFooter>
  </headerFooter>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 Navigator</vt:lpstr>
    </vt:vector>
  </TitlesOfParts>
  <Company>Midori Global Consulting Kft.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2014-02-11T09:14:01Z</dcterms:created>
  <dc:creator>Midori Global Consulting Kft.</dc:creator>
  <cp:lastModifiedBy>Midori Global Consulting Kft.</cp:lastModifiedBy>
  <cp:lastPrinted>2014-02-11T12:39:58Z</cp:lastPrinted>
  <dcterms:modified xsi:type="dcterms:W3CDTF">2022-08-30T11:53:35Z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3307a688-cb4e-4216-87a7-59b03a65a31b</vt:lpwstr>
  </property>
</Properties>
</file>