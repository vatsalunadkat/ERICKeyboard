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mc:Choice Requires="x15">
      <x15ac:absPath xmlns:x15ac="http://schemas.microsoft.com/office/spreadsheetml/2010/11/ac" url="D:\Midori_Stuff\jxec.https\jxec\jxlsc-frontend\src\main\resources\resources-default\"/>
    </mc:Choice>
  </mc:AlternateContent>
  <xr:revisionPtr revIDLastSave="0" documentId="13_ncr:1_{8B7701BA-4EC2-4A1F-9C5C-A9C80B323182}" xr6:coauthVersionLast="47" xr6:coauthVersionMax="47" xr10:uidLastSave="{00000000-0000-0000-0000-000000000000}"/>
  <bookViews>
    <workbookView xWindow="28800" yWindow="-6795" windowWidth="28830" windowHeight="13605" xr2:uid="{00000000-000D-0000-FFFF-FFFF00000000}"/>
  </bookViews>
  <sheets>
    <sheet name="Issue Naviga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<sst xmlns="http://schemas.openxmlformats.org/spreadsheetml/2006/main" count="208" uniqueCount="100">
  <si>
    <t>&lt;jt:hyperlink type="url" address="http://www.midori-global.com/products/better-excel-exporter-for-jira?utm_source=jxlsc&amp;utm_medium=template&amp;utm_campaign=gh&amp;utm_content=issue-navigator" value="help »"/&gt;</t>
  </si>
  <si>
    <t>&lt;mt:autosize/&gt;Created at ${userDateTimeFormatter.withStyle('COMPLETE').format(currentDate)} by ${user.displayName} with Better Excel Exporter for Jira Cloud</t>
  </si>
  <si>
    <t>&lt;mt:execute script="field-helper-tool.groovy"/&gt;&lt;mt:execute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</si>
  <si>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items="${issues}" var="issue"&gt;&lt;jt:forEach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</si>
  <si>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copyColumnWidthsRight="false"&gt;&lt;jt:if test="${issueNavigator.getFieldSumFormula(columnLayoutItem, cell) != null}" elseAction="clear"&gt;&lt;jt:formula text="${issueNavigator.getFieldSumFormula(columnLayoutItem, cell)}"/&gt;&lt;/jt:if&gt;&lt;/jt:forEach&gt;</t>
  </si>
  <si>
    <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</si>
  <si>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</si>
  <si>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</si>
  <si>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t>
  </si>
  <si>
    <t>${i18n.getText(columnLayoutItem.navigableField.columnHeadingKey)}</t>
  </si>
  <si>
    <t>Key</t>
  </si>
  <si>
    <t>Summary</t>
  </si>
  <si>
    <t>Created</t>
  </si>
  <si>
    <t>Creator</t>
  </si>
  <si>
    <t>Description</t>
  </si>
  <si>
    <t>Labels</t>
  </si>
  <si>
    <t>Last Viewed</t>
  </si>
  <si>
    <t>P</t>
  </si>
  <si>
    <t>Parent</t>
  </si>
  <si>
    <t>Project</t>
  </si>
  <si>
    <t>Reporter</t>
  </si>
  <si>
    <t>Status</t>
  </si>
  <si>
    <t>Status Category</t>
  </si>
  <si>
    <t>Status Category Changed</t>
  </si>
  <si>
    <t>Story point estimate</t>
  </si>
  <si>
    <t>T</t>
  </si>
  <si>
    <t>Updated</t>
  </si>
  <si>
    <t>Watches</t>
  </si>
  <si>
    <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</si>
  <si>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 onLoopProcessed="${cellTypeTagLoopListener}"&gt;${issueNavigator.getFieldValue(issue, columnLayoutItem)}&lt;/jt:forEach&gt;</t>
  </si>
  <si>
    <t>${issueNavigator.getFieldValue(issue, columnLayoutItem)}&lt;/jt:forEach&gt;</t>
  </si>
  <si>
    <t>${issueNavigator.getFieldValue(issue, columnLayoutItem)}</t>
  </si>
  <si>
    <t>ERICK-13|https://starshipsyxx.atlassian.net/browse/ERICK-13</t>
  </si>
  <si>
    <t>ERICK-13</t>
  </si>
  <si>
    <t>As a user, I want to see two radial dials on the left and right of the screen, replacing the QWERTY keyboard|https://starshipsyxx.atlassian.net/browse/ERICK-13</t>
  </si>
  <si>
    <t>As a user, I want to see two radial dials on the left and right of the screen, replacing the QWERTY keyboard</t>
  </si>
  <si>
    <t>Angeliki Paneri</t>
  </si>
  <si>
    <t>When a text field is focused anywhere on the device, the keyboard surface should display two large radial dials — one on the left, one on the right — instead of the standard QWERTY layout.
Acceptance Criteria:
* Both radial dials are visible and correctly positioned on the keyboard surface
* The QWERTY keyboard does not appear; the custom IME is shown instead
* Each dial is subdivided into clearly labelled sectors
* The dials appear whenever any text field gains focus across all apps</t>
  </si>
  <si>
    <t/>
  </si>
  <si>
    <t>Highest</t>
  </si>
  <si>
    <t>ERICK-41 Android IME Core (Epic)|https://starshipsyxx.atlassian.net/browse/ERICK-41</t>
  </si>
  <si>
    <t>ERICK-41 Android IME Core (Epic)</t>
  </si>
  <si>
    <t>ERICK - Agile Methods</t>
  </si>
  <si>
    <t>Vatsal Unadkat</t>
  </si>
  <si>
    <t>To Do</t>
  </si>
  <si>
    <t>Story</t>
  </si>
  <si>
    <t>ERICK-12|https://starshipsyxx.atlassian.net/browse/ERICK-12</t>
  </si>
  <si>
    <t>ERICK-12</t>
  </si>
  <si>
    <t>As a user, I can input any character by selecting sectors on the left and right radial dials|https://starshipsyxx.atlassian.net/browse/ERICK-12</t>
  </si>
  <si>
    <t>As a user, I can input any character by selecting sectors on the left and right radial dials</t>
  </si>
  <si>
    <t>The left dial is divided into 8 sectors covering a primary character set. The right dial covers remaining characters plus utility keys (backspace, space, new line). A chord is formed by simultaneously selecting one sector on each dial.
Acceptance Criteria:
* Left dial sectors cover characters/numbers 1–8
* Right dial sectors cover 0, 9, backspace, space, and new line
* Character labels are visible on each sector before input is committed
* The committed character matches the user's sector selection (input accuracy)
* Input works in any app that uses a system text field</t>
  </si>
  <si>
    <t>Medium</t>
  </si>
  <si>
    <t>ERICK-17|https://starshipsyxx.atlassian.net/browse/ERICK-17</t>
  </si>
  <si>
    <t>ERICK-17</t>
  </si>
  <si>
    <t>Attempt to create corresponding dev branches, away from the 'main' branch for prototyping and feature developments|https://starshipsyxx.atlassian.net/browse/ERICK-17</t>
  </si>
  <si>
    <t>Attempt to create corresponding dev branches, away from the 'main' branch for prototyping and feature developments</t>
  </si>
  <si>
    <t>Adi</t>
  </si>
  <si>
    <t>ERICK-39 Project Infrastructure (Epic)|https://starshipsyxx.atlassian.net/browse/ERICK-39</t>
  </si>
  <si>
    <t>ERICK-39 Project Infrastructure (Epic)</t>
  </si>
  <si>
    <t>Task</t>
  </si>
  <si>
    <t>ERICK-18|https://starshipsyxx.atlassian.net/browse/ERICK-18</t>
  </si>
  <si>
    <t>ERICK-18</t>
  </si>
  <si>
    <t>Supplement my knowledge of Android development, Kotlin, and bug testing.|https://starshipsyxx.atlassian.net/browse/ERICK-18</t>
  </si>
  <si>
    <t>Supplement my knowledge of Android development, Kotlin, and bug testing.</t>
  </si>
  <si>
    <t>Xingxing Yang</t>
  </si>
  <si>
    <t>As one developer of our group, I want to supplement my knowledge of Android development, Kotlin, and app operation, set up a local Android development environment (Android Studio), and clone the Github project repository built by the Product Owner, so that I can join the functional development process of the project.</t>
  </si>
  <si>
    <t>In Progress</t>
  </si>
  <si>
    <t>ERICK-24|https://starshipsyxx.atlassian.net/browse/ERICK-24</t>
  </si>
  <si>
    <t>ERICK-24</t>
  </si>
  <si>
    <t>As a user, I want the radial dials to respond to my touch in real time|https://starshipsyxx.atlassian.net/browse/ERICK-24</t>
  </si>
  <si>
    <t>As a user, I want the radial dials to respond to my touch in real time</t>
  </si>
  <si>
    <t>The dials must provide immediate visual feedback as the user swipes, highlighting the active sector continuously. The input is committed when the finger lifts.
Acceptance Criteria:
* The active sector highlights continuously as the user's finger moves
* The dial responds to both tap and swipe gestures
* Input is committed within 50 ms of the finger lifting
* Works correctly with two simultaneous touch points (one per dial)</t>
  </si>
  <si>
    <t>High</t>
  </si>
  <si>
    <t>ERICK-26|https://starshipsyxx.atlassian.net/browse/ERICK-26</t>
  </si>
  <si>
    <t>ERICK-26</t>
  </si>
  <si>
    <t>Setup work in GoDot for first prototype of a game based on the previous research (3)|https://starshipsyxx.atlassian.net/browse/ERICK-26</t>
  </si>
  <si>
    <t>Setup work in GoDot for first prototype of a game based on the previous research (3)</t>
  </si>
  <si>
    <t>Acceptance Criteria: 
* File structure is set up
* Set up of the Game engine
* Set up of the Game Physics
* A very simple prototype of the game
* Uses a normal QWERTY keyboard as an input method</t>
  </si>
  <si>
    <t>ERICK-43 Game Development (Epic)|https://starshipsyxx.atlassian.net/browse/ERICK-43</t>
  </si>
  <si>
    <t>ERICK-43 Game Development (Epic)</t>
  </si>
  <si>
    <t>ERICK-34|https://starshipsyxx.atlassian.net/browse/ERICK-34</t>
  </si>
  <si>
    <t>ERICK-34</t>
  </si>
  <si>
    <t>As a developer, I need to figure out about how can we built/pop up our app on the IOS by using Xcode&amp;Swift|https://starshipsyxx.atlassian.net/browse/ERICK-34</t>
  </si>
  <si>
    <t>As a developer, I need to figure out about how can we built/pop up our app on the IOS by using Xcode&amp;Swift</t>
  </si>
  <si>
    <t>Investigate what is required to build an equivalent custom keyboard on iOS using a Custom Keyboard Extension (Swift/SwiftUI via Xcode). This is a research spike - no implementation is expected.
Acceptance Criteria:
* Research covers Apple's Custom Keyboard Extension API and its constraints
* Key technical differences from Android IME are noted
* Main risks and blockers identified
* Reports committed to docs/research/</t>
  </si>
  <si>
    <t>Group_4</t>
  </si>
  <si>
    <t>ERICK-44 iOS IME Core (Epic)|https://starshipsyxx.atlassian.net/browse/ERICK-44</t>
  </si>
  <si>
    <t>ERICK-44 iOS IME Core (Epic)</t>
  </si>
  <si>
    <t>ERICK-35|https://starshipsyxx.atlassian.net/browse/ERICK-35</t>
  </si>
  <si>
    <t>ERICK-35</t>
  </si>
  <si>
    <t>As a Product owner/UI Group member, after completing the design of the keyboard, build some showcases to demonstrate to users how to use it.|https://starshipsyxx.atlassian.net/browse/ERICK-35</t>
  </si>
  <si>
    <t>As a Product owner/UI Group member, after completing the design of the keyboard, build some showcases to demonstrate to users how to use it.</t>
  </si>
  <si>
    <t>Once the keyboard design is finalised, produce an interactive or visual tutorial that demonstrates how chord input works to new users. This will serve as the primary onboarding resource.
Acceptance Criteria:
* Tutorial covers at least 5 common chord inputs step by step
* Format decided (in-app walkthrough, video, or illustrated guide)
* Tutorial is skippable and re-launchable from settings
* All tutorial assets committed to the repository</t>
  </si>
  <si>
    <t>Low</t>
  </si>
  <si>
    <t>&lt;jt:if test="${issueNavigator.getFieldSumFormula(columnLayoutItem, cell) != null}" elseAction="clear"&gt;&lt;jt:formula text="${issueNavigator.getFieldSumFormula(columnLayoutItem, cell)}"/&gt;&lt;/jt:if&gt;&lt;/jt:forEach&gt;</t>
  </si>
  <si>
    <t>&lt;jt:if test="${issueNavigator.getFieldSumFormula(columnLayoutItem, cell) != null}" elseAction="clear"&gt;&lt;jt:formula text="${issueNavigator.getFieldSumFormula(columnLayoutItem, cell)}"/&gt;&lt;/jt:if&gt;</t>
  </si>
  <si>
    <t>&lt;jt:formula text="${issueNavigator.getFieldSumFormula(columnLayoutItem, cell)}"/&gt;&lt;/jt:if&gt;</t>
  </si>
  <si>
    <t>&lt;jt:formula text="${issueNavigator.getFieldSumFormula(columnLayoutItem, cell)}"/&gt;</t>
  </si>
  <si>
    <t>Created at 28/Feb/26 4:50 pm by Vatsal Unadkat with Better Excel Exporter for Jira Cloud</t>
  </si>
  <si>
    <t>help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</si>
</sst>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dd/mmm/yyyy hh:mm"/>
    <numFmt numFmtId="166" formatCode="[BLACK]"/>
    <numFmt numFmtId="167" formatCode="[Color46]"/>
  </numFmts>
  <fonts count="7" x14ac:knownFonts="1">
    <font>
      <sz val="11"/>
      <color theme="1" rgb="000000"/>
      <name val="Calibri"/>
      <family val="2"/>
      <scheme val="minor"/>
    </font>
    <font>
      <b/>
      <sz val="11"/>
      <color rgb="FF000000"/>
      <name val="Calibri"/>
      <family val="2"/>
      <scheme val="minor"/>
    </font>
    <font>
      <sz val="11"/>
      <color rgb="FF000000"/>
      <name val="Calibri"/>
      <family val="2"/>
      <scheme val="minor"/>
    </font>
    <font>
      <sz val="8"/>
      <color theme="0" tint="-0.499984740745262" rgb="FFFFFF"/>
      <name val="Calibri"/>
      <family val="2"/>
      <charset val="238"/>
      <scheme val="minor"/>
    </font>
    <font>
      <u/>
      <sz val="11"/>
      <color theme="10" rgb="0000FF"/>
      <name val="Calibri"/>
      <family val="2"/>
      <charset val="238"/>
      <scheme val="minor"/>
    </font>
    <font>
      <sz val="8"/>
      <color rgb="FF0064FF"/>
      <name val="Calibri"/>
      <family val="2"/>
      <charset val="238"/>
      <scheme val="minor"/>
    </font>
    <font>
      <name val="Calibri"/>
      <sz val="11.0"/>
      <color indexed="12"/>
      <u val="none"/>
      <charset val="0"/>
    </font>
  </fonts>
  <fills count="4">
    <fill>
      <patternFill patternType="none"/>
    </fill>
    <fill>
      <patternFill patternType="gray125"/>
    </fill>
    <fill>
      <patternFill patternType="solid">
        <fgColor rgb="FFDDDDDD"/>
        <bgColor indexed="64"/>
      </patternFill>
    </fill>
    <fill>
      <patternFill patternType="solid">
        <fgColor rgb="FFF2F2F2"/>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0" fillId="0" borderId="0"/>
  </cellStyleXfs>
  <cellXfs count="13">
    <xf numFmtId="0" fontId="0" fillId="0" borderId="0" xfId="0"/>
    <xf numFmtId="0" fontId="1" fillId="0" borderId="0" xfId="0" applyNumberFormat="1" applyFont="1" applyAlignment="1">
      <alignment vertical="top" wrapText="1"/>
    </xf>
    <xf numFmtId="0" fontId="2" fillId="0" borderId="0" xfId="0" applyNumberFormat="1" applyFont="1" applyAlignment="1">
      <alignment vertical="top" wrapText="1"/>
    </xf>
    <xf numFmtId="0" fontId="2" fillId="0" borderId="0" xfId="0" applyNumberFormat="1" applyFont="1" applyBorder="1" applyAlignment="1">
      <alignment vertical="top" wrapText="1"/>
    </xf>
    <xf numFmtId="0" fontId="3" fillId="0" borderId="0" xfId="0" applyFont="1" applyAlignment="1">
      <alignment vertical="center"/>
    </xf>
    <xf numFmtId="0" fontId="5" fillId="0" borderId="0" xfId="1" applyFont="1" applyAlignment="1">
      <alignment vertical="center"/>
    </xf>
    <xf numFmtId="0" fontId="1" fillId="2" borderId="2" xfId="0" applyNumberFormat="1" applyFont="1" applyFill="1" applyBorder="1" applyAlignment="1">
      <alignment vertical="top" wrapText="1"/>
    </xf>
    <xf numFmtId="0" fontId="1" fillId="3" borderId="1" xfId="0" applyNumberFormat="1" applyFont="1" applyFill="1" applyBorder="1" applyAlignment="1">
      <alignment vertical="top" wrapText="1"/>
    </xf>
    <xf numFmtId="0" fontId="6" fillId="0" borderId="0" xfId="0" applyNumberFormat="1" applyFont="true" applyAlignment="1">
      <alignment vertical="top" wrapText="1"/>
    </xf>
    <xf numFmtId="164" fontId="2" fillId="0" borderId="0" xfId="0" applyNumberFormat="true" applyFont="1" applyAlignment="1">
      <alignment vertical="top" wrapText="1"/>
    </xf>
    <xf numFmtId="165" fontId="2" fillId="0" borderId="0" xfId="0" applyNumberFormat="true" applyFont="1" applyAlignment="1">
      <alignment vertical="top" wrapText="1"/>
    </xf>
    <xf numFmtId="166" fontId="2" fillId="0" borderId="0" xfId="0" applyNumberFormat="true" applyFont="1" applyAlignment="1">
      <alignment vertical="top" wrapText="1"/>
    </xf>
    <xf numFmtId="167" fontId="2" fillId="0" borderId="0" xfId="0" applyNumberFormat="true"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2F2F2"/>
      <color rgb="FFF2F2F3"/>
      <color rgb="FFDDDDDD"/>
      <color rgb="FF000000"/>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10" Target="https://starshipsyxx.atlassian.net/browse/ERICK-17" TargetMode="External" Type="http://schemas.openxmlformats.org/officeDocument/2006/relationships/hyperlink"/>
    <Relationship Id="rId11" Target="https://starshipsyxx.atlassian.net/browse/ERICK-39" TargetMode="External" Type="http://schemas.openxmlformats.org/officeDocument/2006/relationships/hyperlink"/>
    <Relationship Id="rId12" Target="https://starshipsyxx.atlassian.net/browse/ERICK-18" TargetMode="External" Type="http://schemas.openxmlformats.org/officeDocument/2006/relationships/hyperlink"/>
    <Relationship Id="rId13" Target="https://starshipsyxx.atlassian.net/browse/ERICK-18" TargetMode="External" Type="http://schemas.openxmlformats.org/officeDocument/2006/relationships/hyperlink"/>
    <Relationship Id="rId14" Target="https://starshipsyxx.atlassian.net/browse/ERICK-39" TargetMode="External" Type="http://schemas.openxmlformats.org/officeDocument/2006/relationships/hyperlink"/>
    <Relationship Id="rId15" Target="https://starshipsyxx.atlassian.net/browse/ERICK-24" TargetMode="External" Type="http://schemas.openxmlformats.org/officeDocument/2006/relationships/hyperlink"/>
    <Relationship Id="rId16" Target="https://starshipsyxx.atlassian.net/browse/ERICK-24" TargetMode="External" Type="http://schemas.openxmlformats.org/officeDocument/2006/relationships/hyperlink"/>
    <Relationship Id="rId17" Target="https://starshipsyxx.atlassian.net/browse/ERICK-41" TargetMode="External" Type="http://schemas.openxmlformats.org/officeDocument/2006/relationships/hyperlink"/>
    <Relationship Id="rId18" Target="https://starshipsyxx.atlassian.net/browse/ERICK-26" TargetMode="External" Type="http://schemas.openxmlformats.org/officeDocument/2006/relationships/hyperlink"/>
    <Relationship Id="rId19" Target="https://starshipsyxx.atlassian.net/browse/ERICK-26" TargetMode="External" Type="http://schemas.openxmlformats.org/officeDocument/2006/relationships/hyperlink"/>
    <Relationship Id="rId2" Target="../media/image1.png" Type="http://schemas.openxmlformats.org/officeDocument/2006/relationships/image"/>
    <Relationship Id="rId20" Target="https://starshipsyxx.atlassian.net/browse/ERICK-43" TargetMode="External" Type="http://schemas.openxmlformats.org/officeDocument/2006/relationships/hyperlink"/>
    <Relationship Id="rId21" Target="https://starshipsyxx.atlassian.net/browse/ERICK-34" TargetMode="External" Type="http://schemas.openxmlformats.org/officeDocument/2006/relationships/hyperlink"/>
    <Relationship Id="rId22" Target="https://starshipsyxx.atlassian.net/browse/ERICK-34" TargetMode="External" Type="http://schemas.openxmlformats.org/officeDocument/2006/relationships/hyperlink"/>
    <Relationship Id="rId23" Target="https://starshipsyxx.atlassian.net/browse/ERICK-44" TargetMode="External" Type="http://schemas.openxmlformats.org/officeDocument/2006/relationships/hyperlink"/>
    <Relationship Id="rId24" Target="https://starshipsyxx.atlassian.net/browse/ERICK-35" TargetMode="External" Type="http://schemas.openxmlformats.org/officeDocument/2006/relationships/hyperlink"/>
    <Relationship Id="rId25" Target="https://starshipsyxx.atlassian.net/browse/ERICK-35" TargetMode="External" Type="http://schemas.openxmlformats.org/officeDocument/2006/relationships/hyperlink"/>
    <Relationship Id="rId26" Target="https://starshipsyxx.atlassian.net/browse/ERICK-39" TargetMode="External" Type="http://schemas.openxmlformats.org/officeDocument/2006/relationships/hyperlink"/>
    <Relationship Id="rId27" Target="http://www.midori-global.com/products/better-excel-exporter-for-jira?utm_source=jxlsc&amp;utm_medium=template&amp;utm_campaign=gh&amp;utm_content=issue-navigator" TargetMode="External" Type="http://schemas.openxmlformats.org/officeDocument/2006/relationships/hyperlink"/>
    <Relationship Id="rId3" Target="https://starshipsyxx.atlassian.net/browse/ERICK-13" TargetMode="External" Type="http://schemas.openxmlformats.org/officeDocument/2006/relationships/hyperlink"/>
    <Relationship Id="rId4" Target="https://starshipsyxx.atlassian.net/browse/ERICK-13" TargetMode="External" Type="http://schemas.openxmlformats.org/officeDocument/2006/relationships/hyperlink"/>
    <Relationship Id="rId5" Target="https://starshipsyxx.atlassian.net/browse/ERICK-41" TargetMode="External" Type="http://schemas.openxmlformats.org/officeDocument/2006/relationships/hyperlink"/>
    <Relationship Id="rId6" Target="https://starshipsyxx.atlassian.net/browse/ERICK-12" TargetMode="External" Type="http://schemas.openxmlformats.org/officeDocument/2006/relationships/hyperlink"/>
    <Relationship Id="rId7" Target="https://starshipsyxx.atlassian.net/browse/ERICK-12" TargetMode="External" Type="http://schemas.openxmlformats.org/officeDocument/2006/relationships/hyperlink"/>
    <Relationship Id="rId8" Target="https://starshipsyxx.atlassian.net/browse/ERICK-41" TargetMode="External" Type="http://schemas.openxmlformats.org/officeDocument/2006/relationships/hyperlink"/>
    <Relationship Id="rId9" Target="https://starshipsyxx.atlassian.net/browse/ERICK-17"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zoomScaleNormal="100" workbookViewId="0">
      <pane ySplit="1" topLeftCell="A2" activePane="bottomLeft" state="frozen"/>
      <selection pane="bottomLeft"/>
    </sheetView>
  </sheetViews>
  <sheetFormatPr defaultColWidth="9.109375" defaultRowHeight="14.4" x14ac:dyDescent="0.3"/>
  <cols>
    <col min="19" max="16384" style="2" width="9.109375" collapsed="true"/>
    <col min="18" max="18" style="2" width="11.046875" collapsed="true" customWidth="true"/>
    <col min="17" max="17" style="2" width="13.62109375" collapsed="true" customWidth="true"/>
    <col min="16" max="16" style="2" width="6.88671875" collapsed="true" customWidth="true"/>
    <col min="15" max="15" style="2" width="23.5078125" collapsed="true" customWidth="true"/>
    <col min="14" max="14" style="2" width="28.6015625" collapsed="true" customWidth="true"/>
    <col min="13" max="13" style="2" width="18.90234375" collapsed="true" customWidth="true"/>
    <col min="12" max="12" style="2" width="12.265625" collapsed="true" customWidth="true"/>
    <col min="11" max="11" style="2" width="16.00390625" collapsed="true" customWidth="true"/>
    <col min="10" max="10" style="2" width="22.3046875" collapsed="true" customWidth="true"/>
    <col min="9" max="9" style="2" width="36.44140625" collapsed="true" customWidth="true"/>
    <col min="8" max="8" style="2" width="9.37109375" collapsed="true" customWidth="true"/>
    <col min="7" max="7" style="2" width="19.48828125" collapsed="true" customWidth="true"/>
    <col min="6" max="6" style="2" width="9.74609375" collapsed="true" customWidth="true"/>
    <col min="5" max="5" style="2" width="255.0" collapsed="true" customWidth="true"/>
    <col min="4" max="4" style="2" width="15.703125" collapsed="true" customWidth="true"/>
    <col min="3" max="3" style="2" width="13.62109375" collapsed="true" customWidth="true"/>
    <col min="1" max="1" customWidth="true" style="2" width="10.4921875" collapsed="false"/>
    <col min="2" max="2" style="2" width="136.09765625" collapsed="false" customWidth="true"/>
  </cols>
  <sheetData>
    <row r="1" spans="1:1" s="1" customFormat="1" x14ac:dyDescent="0.3">
      <c r="A1" s="6" t="s">
        <v>10</v>
      </c>
      <c r="B1" s="6" t="s">
        <v>11</v>
      </c>
      <c r="C1" s="6" t="s">
        <v>12</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row>
    <row r="2" spans="1:1" ht="115.25" x14ac:dyDescent="0.3" customHeight="true">
      <c r="A2" s="8" t="s">
        <v>33</v>
      </c>
      <c r="B2" s="8" t="s">
        <v>35</v>
      </c>
      <c r="C2" s="9" t="n">
        <v>46076.580187997686</v>
      </c>
      <c r="D2" s="2" t="s">
        <v>36</v>
      </c>
      <c r="E2" s="2" t="s">
        <v>37</v>
      </c>
      <c r="F2" s="2" t="s">
        <v>38</v>
      </c>
      <c r="G2" s="10" t="n">
        <v>46079.72116238426</v>
      </c>
      <c r="H2" s="2" t="s">
        <v>39</v>
      </c>
      <c r="I2" s="8" t="s">
        <v>41</v>
      </c>
      <c r="J2" s="2" t="s">
        <v>42</v>
      </c>
      <c r="K2" s="2" t="s">
        <v>43</v>
      </c>
      <c r="L2" s="11" t="s">
        <v>44</v>
      </c>
      <c r="M2" s="11" t="s">
        <v>44</v>
      </c>
      <c r="N2" s="9" t="n">
        <v>46076.580192789355</v>
      </c>
      <c r="O2" s="2" t="n">
        <v>5.0</v>
      </c>
      <c r="P2" s="2" t="s">
        <v>45</v>
      </c>
      <c r="Q2" s="9" t="n">
        <v>46079.72258435185</v>
      </c>
      <c r="R2" s="2" t="n">
        <v>1.0</v>
      </c>
    </row>
    <row r="3" spans="1:1" ht="129.5" x14ac:dyDescent="0.3" customHeight="true">
      <c r="A3" s="8" t="s">
        <v>47</v>
      </c>
      <c r="B3" s="8" t="s">
        <v>49</v>
      </c>
      <c r="C3" s="9" t="n">
        <v>46076.55817004629</v>
      </c>
      <c r="D3" s="2" t="s">
        <v>36</v>
      </c>
      <c r="E3" s="2" t="s">
        <v>50</v>
      </c>
      <c r="F3" s="2" t="s">
        <v>38</v>
      </c>
      <c r="G3" s="10" t="n">
        <v>46079.72311377315</v>
      </c>
      <c r="H3" s="2" t="s">
        <v>51</v>
      </c>
      <c r="I3" s="8" t="s">
        <v>41</v>
      </c>
      <c r="J3" s="2" t="s">
        <v>42</v>
      </c>
      <c r="K3" s="2" t="s">
        <v>43</v>
      </c>
      <c r="L3" s="11" t="s">
        <v>44</v>
      </c>
      <c r="M3" s="11" t="s">
        <v>44</v>
      </c>
      <c r="N3" s="9" t="n">
        <v>46076.55817493056</v>
      </c>
      <c r="O3" s="2" t="n">
        <v>8.0</v>
      </c>
      <c r="P3" s="2" t="s">
        <v>45</v>
      </c>
      <c r="Q3" s="9" t="n">
        <v>46079.730771319446</v>
      </c>
      <c r="R3" s="2" t="n">
        <v>1.0</v>
      </c>
    </row>
    <row r="4" spans="1:1" s="3" customFormat="1" x14ac:dyDescent="0.3">
      <c r="A4" s="8" t="s">
        <v>53</v>
      </c>
      <c r="B4" s="8" t="s">
        <v>55</v>
      </c>
      <c r="C4" s="9" t="n">
        <v>46077.43261927083</v>
      </c>
      <c r="D4" s="2" t="s">
        <v>56</v>
      </c>
      <c r="E4" s="2" t="s">
        <v>38</v>
      </c>
      <c r="F4" s="2" t="s">
        <v>38</v>
      </c>
      <c r="G4" s="10" t="n">
        <v>46079.73154042824</v>
      </c>
      <c r="H4" s="2" t="s">
        <v>51</v>
      </c>
      <c r="I4" s="8" t="s">
        <v>58</v>
      </c>
      <c r="J4" s="2" t="s">
        <v>42</v>
      </c>
      <c r="K4" s="2" t="s">
        <v>56</v>
      </c>
      <c r="L4" s="11" t="s">
        <v>44</v>
      </c>
      <c r="M4" s="11" t="s">
        <v>44</v>
      </c>
      <c r="N4" s="9" t="n">
        <v>46077.4326240625</v>
      </c>
      <c r="O4" s="2" t="n">
        <v>1.0</v>
      </c>
      <c r="P4" s="2" t="s">
        <v>59</v>
      </c>
      <c r="Q4" s="9" t="n">
        <v>46079.62184363426</v>
      </c>
      <c r="R4" s="2" t="n">
        <v>1.0</v>
      </c>
    </row>
    <row r="5" spans="1:1" x14ac:dyDescent="0.3">
      <c r="A5" s="8" t="s">
        <v>61</v>
      </c>
      <c r="B5" s="8" t="s">
        <v>63</v>
      </c>
      <c r="C5" s="9" t="n">
        <v>46077.4462653588</v>
      </c>
      <c r="D5" s="2" t="s">
        <v>64</v>
      </c>
      <c r="E5" s="2" t="s">
        <v>65</v>
      </c>
      <c r="F5" s="2" t="s">
        <v>38</v>
      </c>
      <c r="G5" s="10" t="n">
        <v>46079.73227054398</v>
      </c>
      <c r="H5" s="2" t="s">
        <v>51</v>
      </c>
      <c r="I5" s="8" t="s">
        <v>58</v>
      </c>
      <c r="J5" s="2" t="s">
        <v>42</v>
      </c>
      <c r="K5" s="2" t="s">
        <v>64</v>
      </c>
      <c r="L5" s="12" t="s">
        <v>66</v>
      </c>
      <c r="M5" s="12" t="s">
        <v>66</v>
      </c>
      <c r="N5" s="9" t="n">
        <v>46077.44635275463</v>
      </c>
      <c r="O5" s="2" t="n">
        <v>2.0</v>
      </c>
      <c r="P5" s="2" t="s">
        <v>45</v>
      </c>
      <c r="Q5" s="9" t="n">
        <v>46079.71258432871</v>
      </c>
      <c r="R5" s="2" t="n">
        <v>1.0</v>
      </c>
    </row>
    <row r="6" ht="115.25" customHeight="true">
      <c r="A6" s="8" t="s">
        <v>68</v>
      </c>
      <c r="B6" s="8" t="s">
        <v>70</v>
      </c>
      <c r="C6" s="9" t="n">
        <v>46077.522992210645</v>
      </c>
      <c r="D6" s="2" t="s">
        <v>56</v>
      </c>
      <c r="E6" s="2" t="s">
        <v>71</v>
      </c>
      <c r="F6" s="2" t="s">
        <v>38</v>
      </c>
      <c r="G6" s="10" t="n">
        <v>46079.73270789352</v>
      </c>
      <c r="H6" s="2" t="s">
        <v>72</v>
      </c>
      <c r="I6" s="8" t="s">
        <v>41</v>
      </c>
      <c r="J6" s="2" t="s">
        <v>42</v>
      </c>
      <c r="K6" s="2" t="s">
        <v>56</v>
      </c>
      <c r="L6" s="11" t="s">
        <v>44</v>
      </c>
      <c r="M6" s="11" t="s">
        <v>44</v>
      </c>
      <c r="N6" s="9" t="n">
        <v>46077.52299636574</v>
      </c>
      <c r="O6" s="2" t="n">
        <v>4.0</v>
      </c>
      <c r="P6" s="2" t="s">
        <v>45</v>
      </c>
      <c r="Q6" s="9" t="n">
        <v>46079.73495532407</v>
      </c>
      <c r="R6" s="2" t="n">
        <v>1.0</v>
      </c>
    </row>
    <row r="7" ht="100.75" customHeight="true">
      <c r="A7" s="8" t="s">
        <v>74</v>
      </c>
      <c r="B7" s="8" t="s">
        <v>76</v>
      </c>
      <c r="C7" s="9" t="n">
        <v>46077.52783116898</v>
      </c>
      <c r="D7" s="2" t="s">
        <v>56</v>
      </c>
      <c r="E7" s="2" t="s">
        <v>77</v>
      </c>
      <c r="F7" s="2" t="s">
        <v>38</v>
      </c>
      <c r="G7" s="10" t="n">
        <v>46080.83415162037</v>
      </c>
      <c r="H7" s="2" t="s">
        <v>72</v>
      </c>
      <c r="I7" s="8" t="s">
        <v>79</v>
      </c>
      <c r="J7" s="2" t="s">
        <v>42</v>
      </c>
      <c r="K7" s="2" t="s">
        <v>43</v>
      </c>
      <c r="L7" s="11" t="s">
        <v>44</v>
      </c>
      <c r="M7" s="11" t="s">
        <v>44</v>
      </c>
      <c r="N7" s="9" t="n">
        <v>46077.52783648148</v>
      </c>
      <c r="O7" s="2" t="n">
        <v>7.0</v>
      </c>
      <c r="P7" s="2" t="s">
        <v>59</v>
      </c>
      <c r="Q7" s="9" t="n">
        <v>46079.70960693287</v>
      </c>
      <c r="R7" s="2" t="n">
        <v>1.0</v>
      </c>
    </row>
    <row r="8" ht="115.25" customHeight="true">
      <c r="A8" s="8" t="s">
        <v>81</v>
      </c>
      <c r="B8" s="8" t="s">
        <v>83</v>
      </c>
      <c r="C8" s="9" t="n">
        <v>46079.45837505787</v>
      </c>
      <c r="D8" s="2" t="s">
        <v>64</v>
      </c>
      <c r="E8" s="2" t="s">
        <v>84</v>
      </c>
      <c r="F8" s="2" t="s">
        <v>85</v>
      </c>
      <c r="G8" s="10" t="n">
        <v>46079.73871091435</v>
      </c>
      <c r="H8" s="2" t="s">
        <v>51</v>
      </c>
      <c r="I8" s="8" t="s">
        <v>87</v>
      </c>
      <c r="J8" s="2" t="s">
        <v>42</v>
      </c>
      <c r="K8" s="2" t="s">
        <v>64</v>
      </c>
      <c r="L8" s="11" t="s">
        <v>44</v>
      </c>
      <c r="M8" s="11" t="s">
        <v>44</v>
      </c>
      <c r="N8" s="9" t="n">
        <v>46079.45838016204</v>
      </c>
      <c r="O8" s="2" t="n">
        <v>3.0</v>
      </c>
      <c r="P8" s="2" t="s">
        <v>59</v>
      </c>
      <c r="Q8" s="9" t="n">
        <v>46079.739757696756</v>
      </c>
      <c r="R8" s="2" t="n">
        <v>1.0</v>
      </c>
    </row>
    <row r="9" ht="115.25" customHeight="true">
      <c r="A9" s="8" t="s">
        <v>89</v>
      </c>
      <c r="B9" s="8" t="s">
        <v>91</v>
      </c>
      <c r="C9" s="9" t="n">
        <v>46079.47226623842</v>
      </c>
      <c r="D9" s="2" t="s">
        <v>64</v>
      </c>
      <c r="E9" s="2" t="s">
        <v>92</v>
      </c>
      <c r="F9" s="2" t="s">
        <v>38</v>
      </c>
      <c r="G9" s="10" t="n">
        <v>46079.740442662034</v>
      </c>
      <c r="H9" s="2" t="s">
        <v>93</v>
      </c>
      <c r="I9" s="8" t="s">
        <v>58</v>
      </c>
      <c r="J9" s="2" t="s">
        <v>42</v>
      </c>
      <c r="K9" s="2" t="s">
        <v>64</v>
      </c>
      <c r="L9" s="11" t="s">
        <v>44</v>
      </c>
      <c r="M9" s="11" t="s">
        <v>44</v>
      </c>
      <c r="N9" s="9" t="n">
        <v>46079.47227020833</v>
      </c>
      <c r="O9" s="2" t="n">
        <v>2.0</v>
      </c>
      <c r="P9" s="2" t="s">
        <v>59</v>
      </c>
      <c r="Q9" s="9" t="n">
        <v>46079.7415884838</v>
      </c>
      <c r="R9" s="2" t="n">
        <v>1.0</v>
      </c>
    </row>
    <row r="10">
      <c r="A10" s="7" t="s">
        <f>COUNTA(A2:A9)</f>
      </c>
      <c r="B10" s="7"/>
      <c r="C10" s="7"/>
      <c r="D10" s="7"/>
      <c r="E10" s="7"/>
      <c r="F10" s="7"/>
      <c r="G10" s="7"/>
      <c r="H10" s="7"/>
      <c r="I10" s="7"/>
      <c r="J10" s="7"/>
      <c r="K10" s="7"/>
      <c r="L10" s="7"/>
      <c r="M10" s="7"/>
      <c r="N10" s="7"/>
      <c r="O10" s="7" t="s">
        <f>SUM(O2:O9)</f>
      </c>
      <c r="P10" s="7"/>
      <c r="Q10" s="7"/>
      <c r="R10" s="7" t="s">
        <f>SUM(R2:R9)</f>
      </c>
    </row>
    <row r="11">
      <c r="A11" s="4" t="s">
        <v>98</v>
      </c>
    </row>
    <row r="12">
      <c r="A12" s="5" t="s">
        <v>99</v>
      </c>
    </row>
  </sheetData>
  <hyperlinks>
    <hyperlink ref="A2" r:id="rId3"/>
    <hyperlink ref="B2" r:id="rId4"/>
    <hyperlink ref="I2" r:id="rId5"/>
    <hyperlink ref="A3" r:id="rId6"/>
    <hyperlink ref="B3" r:id="rId7"/>
    <hyperlink ref="I3" r:id="rId8"/>
    <hyperlink ref="A4" r:id="rId9"/>
    <hyperlink ref="B4" r:id="rId10"/>
    <hyperlink ref="I4" r:id="rId11"/>
    <hyperlink ref="A5" r:id="rId12"/>
    <hyperlink ref="B5" r:id="rId13"/>
    <hyperlink ref="I5" r:id="rId14"/>
    <hyperlink ref="A6" r:id="rId15"/>
    <hyperlink ref="B6" r:id="rId16"/>
    <hyperlink ref="I6" r:id="rId17"/>
    <hyperlink ref="A7" r:id="rId18"/>
    <hyperlink ref="B7" r:id="rId19"/>
    <hyperlink ref="I7" r:id="rId20"/>
    <hyperlink ref="A8" r:id="rId21"/>
    <hyperlink ref="B8" r:id="rId22"/>
    <hyperlink ref="I8" r:id="rId23"/>
    <hyperlink ref="A9" r:id="rId24"/>
    <hyperlink ref="B9" r:id="rId25"/>
    <hyperlink ref="I9" r:id="rId26"/>
    <hyperlink ref="A12" r:id="rId27"/>
  </hyperlinks>
  <pageMargins left="0.7" right="0.7" top="0.75" bottom="0.75" header="0.3" footer="0.3"/>
  <pageSetup orientation="portrait" r:id="rId1"/>
  <headerFooter>
    <oddHeader>&amp;L&amp;"-,Bold"&amp;9Excel (Non-Empty Fields) (Jira)&amp;R&amp;9Created at Sat Feb 28 15:50:26 UTC 2026 by Vatsal Unadkat with Better Excel Exporter for Jira Cloud</oddHeader>
    <oddFooter>&amp;C&amp;9Page &amp;P</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 Navigator</vt:lpstr>
    </vt:vector>
  </TitlesOfParts>
  <Company>Midori Global Consulting Kft.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2014-02-11T09:14:01Z</dcterms:created>
  <dc:creator>Midori Global Consulting Kft.</dc:creator>
  <cp:lastModifiedBy>Midori Global Consulting Kft.</cp:lastModifiedBy>
  <cp:lastPrinted>2014-02-11T12:39:58Z</cp:lastPrinted>
  <dcterms:modified xsi:type="dcterms:W3CDTF">2022-08-30T11:53:35Z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3307a688-cb4e-4216-87a7-59b03a65a31b</vt:lpwstr>
  </property>
</Properties>
</file>