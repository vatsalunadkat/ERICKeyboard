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330"/>
  <workbookPr defaultThemeVersion="124226"/>
  <mc:AlternateContent>
    <mc:Choice Requires="x15">
      <x15ac:absPath xmlns:x15ac="http://schemas.microsoft.com/office/spreadsheetml/2010/11/ac" url="D:\Midori_Stuff\jxec.https\jxec\jxlsc-frontend\src\main\resources\resources-default\"/>
    </mc:Choice>
  </mc:AlternateContent>
  <xr:revisionPtr revIDLastSave="0" documentId="13_ncr:1_{8B7701BA-4EC2-4A1F-9C5C-A9C80B323182}" xr6:coauthVersionLast="47" xr6:coauthVersionMax="47" xr10:uidLastSave="{00000000-0000-0000-0000-000000000000}"/>
  <bookViews>
    <workbookView xWindow="28800" yWindow="-6795" windowWidth="28830" windowHeight="13605" xr2:uid="{00000000-000D-0000-FFFF-FFFF00000000}"/>
  </bookViews>
  <sheets>
    <sheet name="Issue Navigato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<sst xmlns="http://schemas.openxmlformats.org/spreadsheetml/2006/main" count="302" uniqueCount="121">
  <si>
    <t>&lt;jt:hyperlink type="url" address="http://www.midori-global.com/products/better-excel-exporter-for-jira?utm_source=jxlsc&amp;utm_medium=template&amp;utm_campaign=gh&amp;utm_content=issue-navigator" value="help »"/&gt;</t>
  </si>
  <si>
    <t>&lt;mt:autosize/&gt;Created at ${userDateTimeFormatter.withStyle('COMPLETE').format(currentDate)} by ${user.displayName} with Better Excel Exporter for Jira Cloud</t>
  </si>
  <si>
    <t>&lt;mt:execute script="field-helper-tool.groovy"/&gt;&lt;mt:execute script="issue-navigator.groovy"/&gt;&lt;jt:forEach items="${issueNavigator.getIssueTableLayout(issues).columns}" var="columnLayoutItem" copyRight="true" copyColumnWidthsRight="false"&gt;${i18n.getText(columnLayoutItem.navigableField.columnHeadingKey)}&lt;mt:celltype type="${issueNavigator.getFieldCellType(columnLayoutItem)}" format="${issueNavigator.getFieldFormat(columnLayoutItem)}"/&gt;&lt;/jt:forEach&gt;</t>
  </si>
  <si>
    <t>&lt;jt:forEach items="${issues}" var="issue"&gt;&lt;jt:forEach items="${issueNavigator.getIssueTableLayout(issues).columns}" var="columnLayoutItem" copyRight="true" copyColumnWidthsRight="false" onLoopProcessed="${cellTypeTagLoopListener}"&gt;${issueNavigator.getFieldValue(issue, columnLayoutItem)}&lt;/jt:forEach&gt;&lt;/jt:forEach&gt;</t>
  </si>
  <si>
    <t>&lt;jt:forEach items="${issueNavigator.getIssueTableLayout(issues).columns}" var="columnLayoutItem" copyRight="true" copyColumnWidthsRight="false"&gt;&lt;jt:if test="${issueNavigator.getFieldSumFormula(columnLayoutItem, cell) != null}" elseAction="clear"&gt;&lt;jt:formula text="${issueNavigator.getFieldSumFormula(columnLayoutItem, cell)}"/&gt;&lt;/jt:if&gt;&lt;/jt:forEach&gt;</t>
  </si>
  <si>
    <t>&lt;mt:execute script="issue-navigator.groovy"/&gt;&lt;jt:forEach items="${issueNavigator.getIssueTableLayout(issues).columns}" var="columnLayoutItem" copyRight="true" copyColumnWidthsRight="false"&gt;${i18n.getText(columnLayoutItem.navigableField.columnHeadingKey)}&lt;mt:celltype type="${issueNavigator.getFieldCellType(columnLayoutItem)}" format="${issueNavigator.getFieldFormat(columnLayoutItem)}"/&gt;&lt;/jt:forEach&gt;</t>
  </si>
  <si>
    <t>&lt;jt:forEach items="${issueNavigator.getIssueTableLayout(issues).columns}" var="columnLayoutItem" copyRight="true" copyColumnWidthsRight="false"&gt;${i18n.getText(columnLayoutItem.navigableField.columnHeadingKey)}&lt;mt:celltype type="${issueNavigator.getFieldCellType(columnLayoutItem)}" format="${issueNavigator.getFieldFormat(columnLayoutItem)}"/&gt;&lt;/jt:forEach&gt;</t>
  </si>
  <si>
    <t>${i18n.getText(columnLayoutItem.navigableField.columnHeadingKey)}&lt;mt:celltype type="${issueNavigator.getFieldCellType(columnLayoutItem)}" format="${issueNavigator.getFieldFormat(columnLayoutItem)}"/&gt;&lt;/jt:forEach&gt;</t>
  </si>
  <si>
    <t>${i18n.getText(columnLayoutItem.navigableField.columnHeadingKey)}&lt;mt:celltype type="${issueNavigator.getFieldCellType(columnLayoutItem)}" format="${issueNavigator.getFieldFormat(columnLayoutItem)}"/&gt;</t>
  </si>
  <si>
    <t>${i18n.getText(columnLayoutItem.navigableField.columnHeadingKey)}</t>
  </si>
  <si>
    <t>Key</t>
  </si>
  <si>
    <t>Summary</t>
  </si>
  <si>
    <t>Assignee</t>
  </si>
  <si>
    <t>Comments</t>
  </si>
  <si>
    <t>Created</t>
  </si>
  <si>
    <t>Creator</t>
  </si>
  <si>
    <t>Description</t>
  </si>
  <si>
    <t>Due</t>
  </si>
  <si>
    <t>Labels</t>
  </si>
  <si>
    <t>Last Viewed</t>
  </si>
  <si>
    <t>Links</t>
  </si>
  <si>
    <t>P</t>
  </si>
  <si>
    <t>Parent</t>
  </si>
  <si>
    <t>Project</t>
  </si>
  <si>
    <t>Reporter</t>
  </si>
  <si>
    <t>Resolution</t>
  </si>
  <si>
    <t>Resolved</t>
  </si>
  <si>
    <t>Sprint</t>
  </si>
  <si>
    <t>Start date</t>
  </si>
  <si>
    <t>Status</t>
  </si>
  <si>
    <t>Status Category</t>
  </si>
  <si>
    <t>Status Category Changed</t>
  </si>
  <si>
    <t>Story point estimate</t>
  </si>
  <si>
    <t>Sub-Tasks</t>
  </si>
  <si>
    <t>T</t>
  </si>
  <si>
    <t>Updated</t>
  </si>
  <si>
    <t>Watches</t>
  </si>
  <si>
    <t>&lt;jt:forEach items="${issueNavigator.getIssueTableLayout(issues).columns}" var="columnLayoutItem" copyRight="true" copyColumnWidthsRight="false" onLoopProcessed="${cellTypeTagLoopListener}"&gt;${issueNavigator.getFieldValue(issue, columnLayoutItem)}&lt;/jt:forEach&gt;&lt;/jt:forEach&gt;</t>
  </si>
  <si>
    <t>&lt;jt:forEach items="${issueNavigator.getIssueTableLayout(issues).columns}" var="columnLayoutItem" copyRight="true" copyColumnWidthsRight="false" onLoopProcessed="${cellTypeTagLoopListener}"&gt;${issueNavigator.getFieldValue(issue, columnLayoutItem)}&lt;/jt:forEach&gt;</t>
  </si>
  <si>
    <t>${issueNavigator.getFieldValue(issue, columnLayoutItem)}&lt;/jt:forEach&gt;</t>
  </si>
  <si>
    <t>${issueNavigator.getFieldValue(issue, columnLayoutItem)}</t>
  </si>
  <si>
    <t>ERICK-15|https://starshipsyxx.atlassian.net/browse/ERICK-15</t>
  </si>
  <si>
    <t>ERICK-15</t>
  </si>
  <si>
    <t>Set up a GitHub repository with necessary project documentation and "empty Android activity"|https://starshipsyxx.atlassian.net/browse/ERICK-15</t>
  </si>
  <si>
    <t>Set up a GitHub repository with necessary project documentation and "empty Android activity"</t>
  </si>
  <si>
    <t>Vatsal Unadkat</t>
  </si>
  <si>
    <t>Adi</t>
  </si>
  <si>
    <t>Create the project's GitHub repository, initialise a Kotlin + Jetpack Compose 'Empty Activity' project, and push it to the main branch with basic protections in place.
Acceptance Criteria:
* Repository created and accessible to all team members
* Empty Android Activity compiles and runs on API 33+ emulator with zero errors
* README stub present with project name and team information
* main branch protection enabled (no direct pushes)</t>
  </si>
  <si>
    <t/>
  </si>
  <si>
    <t>High</t>
  </si>
  <si>
    <t>ERICK-39 Project Infrastructure (Epic)|https://starshipsyxx.atlassian.net/browse/ERICK-39</t>
  </si>
  <si>
    <t>ERICK-39 Project Infrastructure (Epic)</t>
  </si>
  <si>
    <t>ERICK - Agile Methods</t>
  </si>
  <si>
    <t>Done</t>
  </si>
  <si>
    <t>SCRUM Sprint 1</t>
  </si>
  <si>
    <t>Task</t>
  </si>
  <si>
    <t>ERICK-16|https://starshipsyxx.atlassian.net/browse/ERICK-16</t>
  </si>
  <si>
    <t>ERICK-16</t>
  </si>
  <si>
    <t>Set up Android Studio development environment with Kotlin and Jetpack Compose|https://starshipsyxx.atlassian.net/browse/ERICK-16</t>
  </si>
  <si>
    <t>Set up Android Studio development environment with Kotlin and Jetpack Compose</t>
  </si>
  <si>
    <t>Configure the standard development environment that all Android developers on the project will use, ensuring consistent tooling and dependency versions.
Acceptance Criteria:
* Android Studio installed and configured
* Kotlin version and Compose BOM version pinned in build.gradle
* Virtual device set up and running
* Project builds and launches successfully on the emulator
* All code pushed to GitHub</t>
  </si>
  <si>
    <t>ERICK-20|https://starshipsyxx.atlassian.net/browse/ERICK-20</t>
  </si>
  <si>
    <t>ERICK-20</t>
  </si>
  <si>
    <t>Design keyboard UI layouts in Figma for the MVP|https://starshipsyxx.atlassian.net/browse/ERICK-20</t>
  </si>
  <si>
    <t>Design keyboard UI layouts in Figma for the MVP</t>
  </si>
  <si>
    <t>Angeliki Paneri</t>
  </si>
  <si>
    <t>Xingxing Yang</t>
  </si>
  <si>
    <t>Translate the keyboard layout research into a complete Figma design covering all interaction states. Produce two layout variants to support different user needs.
Acceptance Criteria:
* Research paper on chord keyboard layout reviewed and referenced
* Layout translated into Figma (or similar tool) with all interaction states: idle, active, and confirmed
* Character, number, and utility symbol positions labelled on each sector
* Colour palette and visual style defined
* Two layout variants designed: one optimised for accessibility (logical grouping), one optimised for typing speed (frequency-based)
* Figma file URL shared in the project README
* Documentation started for screens, layouts, and use-case specifications
Extra: Design 2 layouts, one for mental disabilities (logical), and another for efficiency (fastest)</t>
  </si>
  <si>
    <t>Group_2</t>
  </si>
  <si>
    <t>Medium</t>
  </si>
  <si>
    <t>ERICK-42 Keyboard UI &amp; Visual Design (Epic)|https://starshipsyxx.atlassian.net/browse/ERICK-42</t>
  </si>
  <si>
    <t>ERICK-42 Keyboard UI &amp; Visual Design (Epic)</t>
  </si>
  <si>
    <t>ERICK-29, ERICK-30, ERICK-31, ERICK-32, ERICK-33, ERICK-45, ERICK-46</t>
  </si>
  <si>
    <t>ERICK-19|https://starshipsyxx.atlassian.net/browse/ERICK-19</t>
  </si>
  <si>
    <t>ERICK-19</t>
  </si>
  <si>
    <t>Research about the libraries that help in simulate/emulate the joystick functionality in Android. (1.⁠ ⁠Research Team)|https://starshipsyxx.atlassian.net/browse/ERICK-19</t>
  </si>
  <si>
    <t>Research about the libraries that help in simulate/emulate the joystick functionality in Android. (1.⁠ ⁠Research Team)</t>
  </si>
  <si>
    <t>Khair Muhammad</t>
  </si>
  <si>
    <t>Survey open-source Android libraries that support joystick-style or radial dial touch input. 
Acceptance Criteria:
* Each library assessed on: open-source licence, compatibility with latest Android build, ability to output raw angle in degrees, support for custom sector boundaries, and active maintenance
* No licence conflicts with the project
* Recommended library identified with clear justification
* Try setting constraints and providing input</t>
  </si>
  <si>
    <t>Group_1</t>
  </si>
  <si>
    <t>ERICK-41 Android IME Core (Epic)|https://starshipsyxx.atlassian.net/browse/ERICK-41</t>
  </si>
  <si>
    <t>ERICK-41 Android IME Core (Epic)</t>
  </si>
  <si>
    <t>ERICK-22|https://starshipsyxx.atlassian.net/browse/ERICK-22</t>
  </si>
  <si>
    <t>ERICK-22</t>
  </si>
  <si>
    <t>Research typing game concepts compatible with chord-based keyboard input|https://starshipsyxx.atlassian.net/browse/ERICK-22</t>
  </si>
  <si>
    <t>Research typing game concepts compatible with chord-based keyboard input</t>
  </si>
  <si>
    <t>Study existing typing and spelling games to identify mechanics that translate well to chord input and would help users learn the radial dial keyboard. Produce a game concept brief.
Acceptance Criteria:
* At least 3 typing or spelling game examples documented (e.g. Chef's Shift, TypeRacer, Ztype)
* Each example annotated with its core mechanic and suitability for chord input
* Concept brief includes rough screen sketches or low-fidelity Figma frames
* Open-source game options noted for potential code/structure reference
* Brief committed to docs
Pointer:
* Games that teach people how to type fast/efficient (5-6 examples);
* Try finding an open source game, to look at the file structure/code/Kotlin?</t>
  </si>
  <si>
    <t>ERICK-27</t>
  </si>
  <si>
    <t>ERICK-43 Game Development (Epic)|https://starshipsyxx.atlassian.net/browse/ERICK-43</t>
  </si>
  <si>
    <t>ERICK-43 Game Development (Epic)</t>
  </si>
  <si>
    <t>In Progress</t>
  </si>
  <si>
    <t>ERICK-36, ERICK-37, ERICK-38</t>
  </si>
  <si>
    <t>ERICK-27|https://starshipsyxx.atlassian.net/browse/ERICK-27</t>
  </si>
  <si>
    <t>Scout and catalogue open-source Godot-compatible game assets|https://starshipsyxx.atlassian.net/browse/ERICK-27</t>
  </si>
  <si>
    <t>Scout and catalogue open-source Godot-compatible game assets</t>
  </si>
  <si>
    <t>Nazgul Engvall</t>
  </si>
  <si>
    <t>Find CC0 or MIT-licensed 2D art, sound effects, and fonts that suit the chosen game concept and are compatible with Godot. Import them into the project's asset folder.
Acceptance Criteria:
* Assets catalogued (sprites, backgrounds, SFX, fonts)
* All assets confirmed open-source with licence noted
* Assets cover approximately 30% - 50% of what the first prototype will need</t>
  </si>
  <si>
    <t>ERICK-23|https://starshipsyxx.atlassian.net/browse/ERICK-23</t>
  </si>
  <si>
    <t>ERICK-23</t>
  </si>
  <si>
    <t>Implement minimal IME with two buttons that register as system keyboard|https://starshipsyxx.atlassian.net/browse/ERICK-23</t>
  </si>
  <si>
    <t>Implement minimal IME with two buttons that register as system keyboard</t>
  </si>
  <si>
    <t>Build an Android InputMethodService that displays two large buttons labelled '1' and '2'. Tapping each button injects the corresponding digit into any focused text field across the whole OS.
Acceptance Criteria:
* Service declared in AndroidManifest with the correct BIND_INPUT_METHOD permission and intent-filter
* Keyboard appears in Settings → Language &amp; Input → Manage keyboards
* Custom keyboard can be set as the system default
* Tapping '1' or '2' inserts the correct digit in any app (e.g. Chrome, Messages)
* Keyboard shows and hides correctly when a text field gains or loses focus
* Tested on both an emulator and a physical device (API 33+)</t>
  </si>
  <si>
    <t>Group_4</t>
  </si>
  <si>
    <t>ERICK-25|https://starshipsyxx.atlassian.net/browse/ERICK-25</t>
  </si>
  <si>
    <t>ERICK-25</t>
  </si>
  <si>
    <t>Add text field to the app for local IME testing|https://starshipsyxx.atlassian.net/browse/ERICK-25</t>
  </si>
  <si>
    <t>Add text field to the app for local IME testing</t>
  </si>
  <si>
    <t>Vilgot Mattsson</t>
  </si>
  <si>
    <t>Add a simple Activity to the app with a single text field at the top of the screen. This gives developers a quick local surface for testing the IME without needing to switch to another app.
Acceptance Criteria:
* Text field is visible immediately when the app is launched
* Tapping the text field triggers the custom IME
* Characters typed via the IME appear correctly in the field
* No crashes on back-press or screen rotation</t>
  </si>
  <si>
    <t>ERICK-21|https://starshipsyxx.atlassian.net/browse/ERICK-21</t>
  </si>
  <si>
    <t>ERICK-21</t>
  </si>
  <si>
    <t>Create project documentation templates and update GitHub README|https://starshipsyxx.atlassian.net/browse/ERICK-21</t>
  </si>
  <si>
    <t>Create project documentation templates and update GitHub README</t>
  </si>
  <si>
    <t>Set up the living documentation structure for the project. Templates should be empty but properly structured so future sprints can fill them in incrementally.
Acceptance Criteria:
* GitHub README updated with project overview, tech stack, team info, and links to all docs
* Templates created for:
** UI/UX Design Specifications (wireframes, mockups, interaction flows)
** Gesture Design Document (chord patterns, swipe gestures, character mappings)
** System Architecture Document (components, data flow, how systems interact)
** Research Notes (chorded keyboards, gesture recognition, user ergonomics)
** Accessibility Considerations
** Performance Benchmarks (latency, gesture recognition accuracy)
* Each template has clearly defined sections, placeholder text, and a 'Last Updated' field
* All templates committed to GitHub
For now just add templets of the documents as we do not have all the information. We will fill in the documents  in the later sprints.</t>
  </si>
  <si>
    <t>ERICK-28</t>
  </si>
  <si>
    <t>&lt;jt:if test="${issueNavigator.getFieldSumFormula(columnLayoutItem, cell) != null}" elseAction="clear"&gt;&lt;jt:formula text="${issueNavigator.getFieldSumFormula(columnLayoutItem, cell)}"/&gt;&lt;/jt:if&gt;&lt;/jt:forEach&gt;</t>
  </si>
  <si>
    <t>&lt;jt:if test="${issueNavigator.getFieldSumFormula(columnLayoutItem, cell) != null}" elseAction="clear"&gt;&lt;jt:formula text="${issueNavigator.getFieldSumFormula(columnLayoutItem, cell)}"/&gt;&lt;/jt:if&gt;</t>
  </si>
  <si>
    <t>&lt;jt:formula text="${issueNavigator.getFieldSumFormula(columnLayoutItem, cell)}"/&gt;&lt;/jt:if&gt;</t>
  </si>
  <si>
    <t>&lt;jt:formula text="${issueNavigator.getFieldSumFormula(columnLayoutItem, cell)}"/&gt;</t>
  </si>
  <si>
    <t>Created at 28/Feb/26 4:49 pm by Vatsal Unadkat with Better Excel Exporter for Jira Cloud</t>
  </si>
  <si>
    <t>help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</si>
</sst>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dd/mmm/yyyy hh:mm"/>
    <numFmt numFmtId="166" formatCode="[Color10]"/>
    <numFmt numFmtId="167" formatCode="[RED]dd/mmm/yyyy"/>
    <numFmt numFmtId="168" formatCode="[Color46]"/>
  </numFmts>
  <fonts count="7" x14ac:knownFonts="1">
    <font>
      <sz val="11"/>
      <color theme="1" rgb="000000"/>
      <name val="Calibri"/>
      <family val="2"/>
      <scheme val="minor"/>
    </font>
    <font>
      <b/>
      <sz val="11"/>
      <color rgb="FF000000"/>
      <name val="Calibri"/>
      <family val="2"/>
      <scheme val="minor"/>
    </font>
    <font>
      <sz val="11"/>
      <color rgb="FF000000"/>
      <name val="Calibri"/>
      <family val="2"/>
      <scheme val="minor"/>
    </font>
    <font>
      <sz val="8"/>
      <color theme="0" tint="-0.499984740745262" rgb="FFFFFF"/>
      <name val="Calibri"/>
      <family val="2"/>
      <charset val="238"/>
      <scheme val="minor"/>
    </font>
    <font>
      <u/>
      <sz val="11"/>
      <color theme="10" rgb="0000FF"/>
      <name val="Calibri"/>
      <family val="2"/>
      <charset val="238"/>
      <scheme val="minor"/>
    </font>
    <font>
      <sz val="8"/>
      <color rgb="FF0064FF"/>
      <name val="Calibri"/>
      <family val="2"/>
      <charset val="238"/>
      <scheme val="minor"/>
    </font>
    <font>
      <name val="Calibri"/>
      <sz val="11.0"/>
      <color indexed="12"/>
      <u val="none"/>
      <charset val="0"/>
    </font>
  </fonts>
  <fills count="4">
    <fill>
      <patternFill patternType="none"/>
    </fill>
    <fill>
      <patternFill patternType="gray125"/>
    </fill>
    <fill>
      <patternFill patternType="solid">
        <fgColor rgb="FFDDDDDD"/>
        <bgColor indexed="64"/>
      </patternFill>
    </fill>
    <fill>
      <patternFill patternType="solid">
        <fgColor rgb="FFF2F2F2"/>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2">
    <xf numFmtId="0" fontId="0" fillId="0" borderId="0"/>
    <xf numFmtId="0" fontId="0" fillId="0" borderId="0"/>
  </cellStyleXfs>
  <cellXfs count="14">
    <xf numFmtId="0" fontId="0" fillId="0" borderId="0" xfId="0"/>
    <xf numFmtId="0" fontId="1" fillId="0" borderId="0" xfId="0" applyNumberFormat="1" applyFont="1" applyAlignment="1">
      <alignment vertical="top" wrapText="1"/>
    </xf>
    <xf numFmtId="0" fontId="2" fillId="0" borderId="0" xfId="0" applyNumberFormat="1" applyFont="1" applyAlignment="1">
      <alignment vertical="top" wrapText="1"/>
    </xf>
    <xf numFmtId="0" fontId="2" fillId="0" borderId="0" xfId="0" applyNumberFormat="1" applyFont="1" applyBorder="1" applyAlignment="1">
      <alignment vertical="top" wrapText="1"/>
    </xf>
    <xf numFmtId="0" fontId="3" fillId="0" borderId="0" xfId="0" applyFont="1" applyAlignment="1">
      <alignment vertical="center"/>
    </xf>
    <xf numFmtId="0" fontId="5" fillId="0" borderId="0" xfId="1" applyFont="1" applyAlignment="1">
      <alignment vertical="center"/>
    </xf>
    <xf numFmtId="0" fontId="1" fillId="2" borderId="2" xfId="0" applyNumberFormat="1" applyFont="1" applyFill="1" applyBorder="1" applyAlignment="1">
      <alignment vertical="top" wrapText="1"/>
    </xf>
    <xf numFmtId="0" fontId="1" fillId="3" borderId="1" xfId="0" applyNumberFormat="1" applyFont="1" applyFill="1" applyBorder="1" applyAlignment="1">
      <alignment vertical="top" wrapText="1"/>
    </xf>
    <xf numFmtId="0" fontId="6" fillId="0" borderId="0" xfId="0" applyNumberFormat="1" applyFont="true" applyAlignment="1">
      <alignment vertical="top" wrapText="1"/>
    </xf>
    <xf numFmtId="164" fontId="2" fillId="0" borderId="0" xfId="0" applyNumberFormat="true" applyFont="1" applyAlignment="1">
      <alignment vertical="top" wrapText="1"/>
    </xf>
    <xf numFmtId="165" fontId="2" fillId="0" borderId="0" xfId="0" applyNumberFormat="true" applyFont="1" applyAlignment="1">
      <alignment vertical="top" wrapText="1"/>
    </xf>
    <xf numFmtId="166" fontId="2" fillId="0" borderId="0" xfId="0" applyNumberFormat="true" applyFont="1" applyAlignment="1">
      <alignment vertical="top" wrapText="1"/>
    </xf>
    <xf numFmtId="167" fontId="2" fillId="0" borderId="0" xfId="0" applyNumberFormat="true" applyFont="1" applyAlignment="1">
      <alignment vertical="top" wrapText="1"/>
    </xf>
    <xf numFmtId="168" fontId="2" fillId="0" borderId="0" xfId="0" applyNumberFormat="true"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colors>
    <mruColors>
      <color rgb="FFF2F2F2"/>
      <color rgb="FFF2F2F3"/>
      <color rgb="FFDDDDDD"/>
      <color rgb="FF000000"/>
      <color rgb="FF7777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10" Target="https://starshipsyxx.atlassian.net/browse/ERICK-20" TargetMode="External" Type="http://schemas.openxmlformats.org/officeDocument/2006/relationships/hyperlink"/>
    <Relationship Id="rId11" Target="https://starshipsyxx.atlassian.net/browse/ERICK-42" TargetMode="External" Type="http://schemas.openxmlformats.org/officeDocument/2006/relationships/hyperlink"/>
    <Relationship Id="rId12" Target="https://starshipsyxx.atlassian.net/browse/ERICK-19" TargetMode="External" Type="http://schemas.openxmlformats.org/officeDocument/2006/relationships/hyperlink"/>
    <Relationship Id="rId13" Target="https://starshipsyxx.atlassian.net/browse/ERICK-19" TargetMode="External" Type="http://schemas.openxmlformats.org/officeDocument/2006/relationships/hyperlink"/>
    <Relationship Id="rId14" Target="https://starshipsyxx.atlassian.net/browse/ERICK-41" TargetMode="External" Type="http://schemas.openxmlformats.org/officeDocument/2006/relationships/hyperlink"/>
    <Relationship Id="rId15" Target="https://starshipsyxx.atlassian.net/browse/ERICK-22" TargetMode="External" Type="http://schemas.openxmlformats.org/officeDocument/2006/relationships/hyperlink"/>
    <Relationship Id="rId16" Target="https://starshipsyxx.atlassian.net/browse/ERICK-22" TargetMode="External" Type="http://schemas.openxmlformats.org/officeDocument/2006/relationships/hyperlink"/>
    <Relationship Id="rId17" Target="https://starshipsyxx.atlassian.net/browse/ERICK-43" TargetMode="External" Type="http://schemas.openxmlformats.org/officeDocument/2006/relationships/hyperlink"/>
    <Relationship Id="rId18" Target="https://starshipsyxx.atlassian.net/browse/ERICK-27" TargetMode="External" Type="http://schemas.openxmlformats.org/officeDocument/2006/relationships/hyperlink"/>
    <Relationship Id="rId19" Target="https://starshipsyxx.atlassian.net/browse/ERICK-27" TargetMode="External" Type="http://schemas.openxmlformats.org/officeDocument/2006/relationships/hyperlink"/>
    <Relationship Id="rId2" Target="../media/image1.png" Type="http://schemas.openxmlformats.org/officeDocument/2006/relationships/image"/>
    <Relationship Id="rId20" Target="https://starshipsyxx.atlassian.net/browse/ERICK-43" TargetMode="External" Type="http://schemas.openxmlformats.org/officeDocument/2006/relationships/hyperlink"/>
    <Relationship Id="rId21" Target="https://starshipsyxx.atlassian.net/browse/ERICK-23" TargetMode="External" Type="http://schemas.openxmlformats.org/officeDocument/2006/relationships/hyperlink"/>
    <Relationship Id="rId22" Target="https://starshipsyxx.atlassian.net/browse/ERICK-23" TargetMode="External" Type="http://schemas.openxmlformats.org/officeDocument/2006/relationships/hyperlink"/>
    <Relationship Id="rId23" Target="https://starshipsyxx.atlassian.net/browse/ERICK-41" TargetMode="External" Type="http://schemas.openxmlformats.org/officeDocument/2006/relationships/hyperlink"/>
    <Relationship Id="rId24" Target="https://starshipsyxx.atlassian.net/browse/ERICK-25" TargetMode="External" Type="http://schemas.openxmlformats.org/officeDocument/2006/relationships/hyperlink"/>
    <Relationship Id="rId25" Target="https://starshipsyxx.atlassian.net/browse/ERICK-25" TargetMode="External" Type="http://schemas.openxmlformats.org/officeDocument/2006/relationships/hyperlink"/>
    <Relationship Id="rId26" Target="https://starshipsyxx.atlassian.net/browse/ERICK-41" TargetMode="External" Type="http://schemas.openxmlformats.org/officeDocument/2006/relationships/hyperlink"/>
    <Relationship Id="rId27" Target="https://starshipsyxx.atlassian.net/browse/ERICK-21" TargetMode="External" Type="http://schemas.openxmlformats.org/officeDocument/2006/relationships/hyperlink"/>
    <Relationship Id="rId28" Target="https://starshipsyxx.atlassian.net/browse/ERICK-21" TargetMode="External" Type="http://schemas.openxmlformats.org/officeDocument/2006/relationships/hyperlink"/>
    <Relationship Id="rId29" Target="https://starshipsyxx.atlassian.net/browse/ERICK-39" TargetMode="External" Type="http://schemas.openxmlformats.org/officeDocument/2006/relationships/hyperlink"/>
    <Relationship Id="rId3" Target="https://starshipsyxx.atlassian.net/browse/ERICK-15" TargetMode="External" Type="http://schemas.openxmlformats.org/officeDocument/2006/relationships/hyperlink"/>
    <Relationship Id="rId30" Target="http://www.midori-global.com/products/better-excel-exporter-for-jira?utm_source=jxlsc&amp;utm_medium=template&amp;utm_campaign=gh&amp;utm_content=issue-navigator" TargetMode="External" Type="http://schemas.openxmlformats.org/officeDocument/2006/relationships/hyperlink"/>
    <Relationship Id="rId4" Target="https://starshipsyxx.atlassian.net/browse/ERICK-15" TargetMode="External" Type="http://schemas.openxmlformats.org/officeDocument/2006/relationships/hyperlink"/>
    <Relationship Id="rId5" Target="https://starshipsyxx.atlassian.net/browse/ERICK-39" TargetMode="External" Type="http://schemas.openxmlformats.org/officeDocument/2006/relationships/hyperlink"/>
    <Relationship Id="rId6" Target="https://starshipsyxx.atlassian.net/browse/ERICK-16" TargetMode="External" Type="http://schemas.openxmlformats.org/officeDocument/2006/relationships/hyperlink"/>
    <Relationship Id="rId7" Target="https://starshipsyxx.atlassian.net/browse/ERICK-16" TargetMode="External" Type="http://schemas.openxmlformats.org/officeDocument/2006/relationships/hyperlink"/>
    <Relationship Id="rId8" Target="https://starshipsyxx.atlassian.net/browse/ERICK-39" TargetMode="External" Type="http://schemas.openxmlformats.org/officeDocument/2006/relationships/hyperlink"/>
    <Relationship Id="rId9" Target="https://starshipsyxx.atlassian.net/browse/ERICK-20"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tabSelected="1" zoomScaleNormal="100" workbookViewId="0">
      <pane ySplit="1" topLeftCell="A2" activePane="bottomLeft" state="frozen"/>
      <selection pane="bottomLeft"/>
    </sheetView>
  </sheetViews>
  <sheetFormatPr defaultColWidth="9.109375" defaultRowHeight="14.4" x14ac:dyDescent="0.3"/>
  <cols>
    <col min="28" max="16384" style="2" width="9.109375" collapsed="true"/>
    <col min="27" max="27" style="2" width="11.046875" collapsed="true" customWidth="true"/>
    <col min="26" max="26" style="2" width="13.62109375" collapsed="true" customWidth="true"/>
    <col min="25" max="25" style="2" width="6.30078125" collapsed="true" customWidth="true"/>
    <col min="24" max="24" style="2" width="68.18359375" collapsed="true" customWidth="true"/>
    <col min="23" max="23" style="2" width="23.5078125" collapsed="true" customWidth="true"/>
    <col min="22" max="22" style="2" width="28.6015625" collapsed="true" customWidth="true"/>
    <col min="21" max="21" style="2" width="18.90234375" collapsed="true" customWidth="true"/>
    <col min="20" max="20" style="2" width="8.890625" collapsed="true" customWidth="true"/>
    <col min="19" max="19" style="2" width="13.62109375" collapsed="true" customWidth="true"/>
    <col min="18" max="18" style="2" width="16.48828125" collapsed="true" customWidth="true"/>
    <col min="17" max="17" style="2" width="13.62109375" collapsed="true" customWidth="true"/>
    <col min="16" max="16" style="2" width="13.1953125" collapsed="true" customWidth="true"/>
    <col min="15" max="15" style="2" width="11.33984375" collapsed="true" customWidth="true"/>
    <col min="14" max="14" style="2" width="22.3046875" collapsed="true" customWidth="true"/>
    <col min="13" max="13" style="2" width="36.44140625" collapsed="true" customWidth="true"/>
    <col min="12" max="12" style="2" width="6.2578125" collapsed="true" customWidth="true"/>
    <col min="11" max="11" style="2" width="10.4921875" collapsed="true" customWidth="true"/>
    <col min="10" max="10" style="2" width="19.48828125" collapsed="true" customWidth="true"/>
    <col min="9" max="9" style="2" width="9.74609375" collapsed="true" customWidth="true"/>
    <col min="8" max="8" style="2" width="13.62109375" collapsed="true" customWidth="true"/>
    <col min="7" max="7" style="2" width="152.59375" collapsed="true" customWidth="true"/>
    <col min="6" max="6" style="2" width="9.95703125" collapsed="true" customWidth="true"/>
    <col min="5" max="5" style="2" width="13.62109375" collapsed="true" customWidth="true"/>
    <col min="4" max="4" style="2" width="13.12890625" collapsed="true" customWidth="true"/>
    <col min="3" max="3" style="2" width="16.00390625" collapsed="true" customWidth="true"/>
    <col min="1" max="1" customWidth="true" style="2" width="10.4921875" collapsed="false"/>
    <col min="2" max="2" style="2" width="89.5390625" collapsed="false" customWidth="true"/>
  </cols>
  <sheetData>
    <row r="1" spans="1:1" s="1" customFormat="1" x14ac:dyDescent="0.3">
      <c r="A1" s="6" t="s">
        <v>10</v>
      </c>
      <c r="B1" s="6" t="s">
        <v>11</v>
      </c>
      <c r="C1" s="6" t="s">
        <v>12</v>
      </c>
      <c r="D1" s="6" t="s">
        <v>13</v>
      </c>
      <c r="E1" s="6" t="s">
        <v>14</v>
      </c>
      <c r="F1" s="6" t="s">
        <v>15</v>
      </c>
      <c r="G1" s="6" t="s">
        <v>16</v>
      </c>
      <c r="H1" s="6" t="s">
        <v>17</v>
      </c>
      <c r="I1" s="6" t="s">
        <v>18</v>
      </c>
      <c r="J1" s="6" t="s">
        <v>19</v>
      </c>
      <c r="K1" s="6" t="s">
        <v>20</v>
      </c>
      <c r="L1" s="6" t="s">
        <v>21</v>
      </c>
      <c r="M1" s="6" t="s">
        <v>22</v>
      </c>
      <c r="N1" s="6" t="s">
        <v>23</v>
      </c>
      <c r="O1" s="6" t="s">
        <v>24</v>
      </c>
      <c r="P1" s="6" t="s">
        <v>25</v>
      </c>
      <c r="Q1" s="6" t="s">
        <v>26</v>
      </c>
      <c r="R1" s="6" t="s">
        <v>27</v>
      </c>
      <c r="S1" s="6" t="s">
        <v>28</v>
      </c>
      <c r="T1" s="6" t="s">
        <v>29</v>
      </c>
      <c r="U1" s="6" t="s">
        <v>30</v>
      </c>
      <c r="V1" s="6" t="s">
        <v>31</v>
      </c>
      <c r="W1" s="6" t="s">
        <v>32</v>
      </c>
      <c r="X1" s="6" t="s">
        <v>33</v>
      </c>
      <c r="Y1" s="6" t="s">
        <v>34</v>
      </c>
      <c r="Z1" s="6" t="s">
        <v>35</v>
      </c>
      <c r="AA1" s="6" t="s">
        <v>36</v>
      </c>
    </row>
    <row r="2" spans="1:1" ht="115.25" x14ac:dyDescent="0.3" customHeight="true">
      <c r="A2" s="8" t="s">
        <v>42</v>
      </c>
      <c r="B2" s="8" t="s">
        <v>44</v>
      </c>
      <c r="C2" s="2" t="s">
        <v>45</v>
      </c>
      <c r="D2" s="2" t="n">
        <v>0.0</v>
      </c>
      <c r="E2" s="9" t="n">
        <v>46077.43152063657</v>
      </c>
      <c r="F2" s="2" t="s">
        <v>46</v>
      </c>
      <c r="G2" s="2" t="s">
        <v>47</v>
      </c>
      <c r="H2" s="9" t="n">
        <v>46080.0</v>
      </c>
      <c r="I2" s="2" t="s">
        <v>48</v>
      </c>
      <c r="J2" s="10" t="n">
        <v>46079.75162484954</v>
      </c>
      <c r="K2" s="2" t="s">
        <v>48</v>
      </c>
      <c r="L2" s="2" t="s">
        <v>49</v>
      </c>
      <c r="M2" s="8" t="s">
        <v>51</v>
      </c>
      <c r="N2" s="2" t="s">
        <v>52</v>
      </c>
      <c r="O2" s="2" t="s">
        <v>46</v>
      </c>
      <c r="P2" s="2" t="s">
        <v>53</v>
      </c>
      <c r="Q2" s="9" t="n">
        <v>46079.562374340276</v>
      </c>
      <c r="R2" s="2" t="s">
        <v>54</v>
      </c>
      <c r="S2" s="9"/>
      <c r="T2" s="11" t="s">
        <v>53</v>
      </c>
      <c r="U2" s="11" t="s">
        <v>53</v>
      </c>
      <c r="V2" s="9" t="n">
        <v>46079.56237457176</v>
      </c>
      <c r="W2" s="2" t="n">
        <v>1.0</v>
      </c>
      <c r="X2" s="2" t="s">
        <v>48</v>
      </c>
      <c r="Y2" s="2" t="s">
        <v>55</v>
      </c>
      <c r="Z2" s="9" t="n">
        <v>46079.75181865741</v>
      </c>
      <c r="AA2" s="2" t="n">
        <v>1.0</v>
      </c>
    </row>
    <row r="3" spans="1:1" ht="129.5" x14ac:dyDescent="0.3" customHeight="true">
      <c r="A3" s="8" t="s">
        <v>57</v>
      </c>
      <c r="B3" s="8" t="s">
        <v>59</v>
      </c>
      <c r="C3" s="2" t="s">
        <v>45</v>
      </c>
      <c r="D3" s="2" t="n">
        <v>0.0</v>
      </c>
      <c r="E3" s="9" t="n">
        <v>46077.43198761574</v>
      </c>
      <c r="F3" s="2" t="s">
        <v>46</v>
      </c>
      <c r="G3" s="2" t="s">
        <v>60</v>
      </c>
      <c r="H3" s="9" t="n">
        <v>46080.0</v>
      </c>
      <c r="I3" s="2" t="s">
        <v>48</v>
      </c>
      <c r="J3" s="10" t="n">
        <v>46079.752261458336</v>
      </c>
      <c r="K3" s="2" t="s">
        <v>48</v>
      </c>
      <c r="L3" s="2" t="s">
        <v>49</v>
      </c>
      <c r="M3" s="8" t="s">
        <v>51</v>
      </c>
      <c r="N3" s="2" t="s">
        <v>52</v>
      </c>
      <c r="O3" s="2" t="s">
        <v>46</v>
      </c>
      <c r="P3" s="2" t="s">
        <v>53</v>
      </c>
      <c r="Q3" s="9" t="n">
        <v>46079.563017002314</v>
      </c>
      <c r="R3" s="2" t="s">
        <v>54</v>
      </c>
      <c r="S3" s="9"/>
      <c r="T3" s="11" t="s">
        <v>53</v>
      </c>
      <c r="U3" s="11" t="s">
        <v>53</v>
      </c>
      <c r="V3" s="9" t="n">
        <v>46079.56301725694</v>
      </c>
      <c r="W3" s="2" t="n">
        <v>2.0</v>
      </c>
      <c r="X3" s="2" t="s">
        <v>48</v>
      </c>
      <c r="Y3" s="2" t="s">
        <v>55</v>
      </c>
      <c r="Z3" s="9" t="n">
        <v>46079.753238969904</v>
      </c>
      <c r="AA3" s="2" t="n">
        <v>1.0</v>
      </c>
    </row>
    <row r="4" spans="1:1" s="3" customFormat="1" x14ac:dyDescent="0.3" ht="216.0" customHeight="true">
      <c r="A4" s="8" t="s">
        <v>62</v>
      </c>
      <c r="B4" s="8" t="s">
        <v>64</v>
      </c>
      <c r="C4" s="2" t="s">
        <v>65</v>
      </c>
      <c r="D4" s="2" t="n">
        <v>3.0</v>
      </c>
      <c r="E4" s="9" t="n">
        <v>46077.50512613426</v>
      </c>
      <c r="F4" s="2" t="s">
        <v>66</v>
      </c>
      <c r="G4" s="2" t="s">
        <v>67</v>
      </c>
      <c r="H4" s="9" t="n">
        <v>46080.0</v>
      </c>
      <c r="I4" s="2" t="s">
        <v>68</v>
      </c>
      <c r="J4" s="10" t="n">
        <v>46079.7593150463</v>
      </c>
      <c r="K4" s="2" t="s">
        <v>48</v>
      </c>
      <c r="L4" s="2" t="s">
        <v>69</v>
      </c>
      <c r="M4" s="8" t="s">
        <v>71</v>
      </c>
      <c r="N4" s="2" t="s">
        <v>52</v>
      </c>
      <c r="O4" s="2" t="s">
        <v>66</v>
      </c>
      <c r="P4" s="2" t="s">
        <v>53</v>
      </c>
      <c r="Q4" s="9" t="n">
        <v>46080.01368388889</v>
      </c>
      <c r="R4" s="2" t="s">
        <v>54</v>
      </c>
      <c r="S4" s="9" t="n">
        <v>46078.0</v>
      </c>
      <c r="T4" s="11" t="s">
        <v>53</v>
      </c>
      <c r="U4" s="11" t="s">
        <v>53</v>
      </c>
      <c r="V4" s="9" t="n">
        <v>46080.013684224534</v>
      </c>
      <c r="W4" s="2" t="n">
        <v>5.0</v>
      </c>
      <c r="X4" s="2" t="s">
        <v>72</v>
      </c>
      <c r="Y4" s="2" t="s">
        <v>55</v>
      </c>
      <c r="Z4" s="9" t="n">
        <v>46080.013691238426</v>
      </c>
      <c r="AA4" s="2" t="n">
        <v>2.0</v>
      </c>
    </row>
    <row r="5" spans="1:1" x14ac:dyDescent="0.3" ht="115.25" customHeight="true">
      <c r="A5" s="8" t="s">
        <v>74</v>
      </c>
      <c r="B5" s="8" t="s">
        <v>76</v>
      </c>
      <c r="C5" s="2" t="s">
        <v>77</v>
      </c>
      <c r="D5" s="2" t="n">
        <v>1.0</v>
      </c>
      <c r="E5" s="9" t="n">
        <v>46077.45336987269</v>
      </c>
      <c r="F5" s="2" t="s">
        <v>77</v>
      </c>
      <c r="G5" s="2" t="s">
        <v>78</v>
      </c>
      <c r="H5" s="9" t="n">
        <v>46080.0</v>
      </c>
      <c r="I5" s="2" t="s">
        <v>79</v>
      </c>
      <c r="J5" s="10" t="n">
        <v>46080.60763329861</v>
      </c>
      <c r="K5" s="2" t="s">
        <v>48</v>
      </c>
      <c r="L5" s="2" t="s">
        <v>69</v>
      </c>
      <c r="M5" s="8" t="s">
        <v>81</v>
      </c>
      <c r="N5" s="2" t="s">
        <v>52</v>
      </c>
      <c r="O5" s="2" t="s">
        <v>77</v>
      </c>
      <c r="P5" s="2" t="s">
        <v>53</v>
      </c>
      <c r="Q5" s="9" t="n">
        <v>46080.424022858795</v>
      </c>
      <c r="R5" s="2" t="s">
        <v>54</v>
      </c>
      <c r="S5" s="9" t="n">
        <v>46078.0</v>
      </c>
      <c r="T5" s="11" t="s">
        <v>53</v>
      </c>
      <c r="U5" s="11" t="s">
        <v>53</v>
      </c>
      <c r="V5" s="9" t="n">
        <v>46080.424023252315</v>
      </c>
      <c r="W5" s="2" t="n">
        <v>5.0</v>
      </c>
      <c r="X5" s="2" t="s">
        <v>48</v>
      </c>
      <c r="Y5" s="2" t="s">
        <v>55</v>
      </c>
      <c r="Z5" s="9" t="n">
        <v>46080.424023252315</v>
      </c>
      <c r="AA5" s="2" t="n">
        <v>2.0</v>
      </c>
    </row>
    <row r="6" ht="230.5" customHeight="true">
      <c r="A6" s="8" t="s">
        <v>83</v>
      </c>
      <c r="B6" s="8" t="s">
        <v>85</v>
      </c>
      <c r="C6" s="2" t="s">
        <v>46</v>
      </c>
      <c r="D6" s="2" t="n">
        <v>3.0</v>
      </c>
      <c r="E6" s="9" t="n">
        <v>46077.507683634256</v>
      </c>
      <c r="F6" s="2" t="s">
        <v>66</v>
      </c>
      <c r="G6" s="2" t="s">
        <v>86</v>
      </c>
      <c r="H6" s="12" t="n">
        <v>46080.0</v>
      </c>
      <c r="I6" s="2" t="s">
        <v>68</v>
      </c>
      <c r="J6" s="10" t="n">
        <v>46080.86276943287</v>
      </c>
      <c r="K6" s="2" t="s">
        <v>87</v>
      </c>
      <c r="L6" s="2" t="s">
        <v>49</v>
      </c>
      <c r="M6" s="8" t="s">
        <v>89</v>
      </c>
      <c r="N6" s="2" t="s">
        <v>52</v>
      </c>
      <c r="O6" s="2" t="s">
        <v>66</v>
      </c>
      <c r="P6" s="2" t="s">
        <v>48</v>
      </c>
      <c r="Q6" s="9"/>
      <c r="R6" s="2" t="s">
        <v>54</v>
      </c>
      <c r="S6" s="9" t="n">
        <v>46078.0</v>
      </c>
      <c r="T6" s="13" t="s">
        <v>90</v>
      </c>
      <c r="U6" s="13" t="s">
        <v>90</v>
      </c>
      <c r="V6" s="9" t="n">
        <v>46078.48647806713</v>
      </c>
      <c r="W6" s="2" t="n">
        <v>5.0</v>
      </c>
      <c r="X6" s="2" t="s">
        <v>91</v>
      </c>
      <c r="Y6" s="2" t="s">
        <v>55</v>
      </c>
      <c r="Z6" s="9" t="n">
        <v>46079.980505775464</v>
      </c>
      <c r="AA6" s="2" t="n">
        <v>3.0</v>
      </c>
    </row>
    <row r="7" ht="100.75" customHeight="true">
      <c r="A7" s="8" t="s">
        <v>87</v>
      </c>
      <c r="B7" s="8" t="s">
        <v>94</v>
      </c>
      <c r="C7" s="2" t="s">
        <v>95</v>
      </c>
      <c r="D7" s="2" t="n">
        <v>3.0</v>
      </c>
      <c r="E7" s="9" t="n">
        <v>46077.53079170139</v>
      </c>
      <c r="F7" s="2" t="s">
        <v>46</v>
      </c>
      <c r="G7" s="2" t="s">
        <v>96</v>
      </c>
      <c r="H7" s="9" t="n">
        <v>46080.0</v>
      </c>
      <c r="I7" s="2" t="s">
        <v>48</v>
      </c>
      <c r="J7" s="10" t="n">
        <v>46080.42435232639</v>
      </c>
      <c r="K7" s="2" t="s">
        <v>83</v>
      </c>
      <c r="L7" s="2" t="s">
        <v>69</v>
      </c>
      <c r="M7" s="8" t="s">
        <v>89</v>
      </c>
      <c r="N7" s="2" t="s">
        <v>52</v>
      </c>
      <c r="O7" s="2" t="s">
        <v>46</v>
      </c>
      <c r="P7" s="2" t="s">
        <v>53</v>
      </c>
      <c r="Q7" s="9" t="n">
        <v>46080.42463548611</v>
      </c>
      <c r="R7" s="2" t="s">
        <v>54</v>
      </c>
      <c r="S7" s="9"/>
      <c r="T7" s="11" t="s">
        <v>53</v>
      </c>
      <c r="U7" s="11" t="s">
        <v>53</v>
      </c>
      <c r="V7" s="9" t="n">
        <v>46080.424635787036</v>
      </c>
      <c r="W7" s="2" t="n">
        <v>3.0</v>
      </c>
      <c r="X7" s="2" t="s">
        <v>48</v>
      </c>
      <c r="Y7" s="2" t="s">
        <v>55</v>
      </c>
      <c r="Z7" s="9" t="n">
        <v>46080.42463577546</v>
      </c>
      <c r="AA7" s="2" t="n">
        <v>2.0</v>
      </c>
    </row>
    <row r="8" ht="144.0" customHeight="true">
      <c r="A8" s="8" t="s">
        <v>98</v>
      </c>
      <c r="B8" s="8" t="s">
        <v>100</v>
      </c>
      <c r="C8" s="2" t="s">
        <v>66</v>
      </c>
      <c r="D8" s="2" t="n">
        <v>0.0</v>
      </c>
      <c r="E8" s="9" t="n">
        <v>46077.51149065972</v>
      </c>
      <c r="F8" s="2" t="s">
        <v>66</v>
      </c>
      <c r="G8" s="2" t="s">
        <v>101</v>
      </c>
      <c r="H8" s="9" t="n">
        <v>46080.0</v>
      </c>
      <c r="I8" s="2" t="s">
        <v>102</v>
      </c>
      <c r="J8" s="10" t="n">
        <v>46080.66950153935</v>
      </c>
      <c r="K8" s="2" t="s">
        <v>48</v>
      </c>
      <c r="L8" s="2" t="s">
        <v>69</v>
      </c>
      <c r="M8" s="8" t="s">
        <v>81</v>
      </c>
      <c r="N8" s="2" t="s">
        <v>52</v>
      </c>
      <c r="O8" s="2" t="s">
        <v>66</v>
      </c>
      <c r="P8" s="2" t="s">
        <v>53</v>
      </c>
      <c r="Q8" s="9" t="n">
        <v>46080.42286407408</v>
      </c>
      <c r="R8" s="2" t="s">
        <v>54</v>
      </c>
      <c r="S8" s="9" t="n">
        <v>46078.0</v>
      </c>
      <c r="T8" s="11" t="s">
        <v>53</v>
      </c>
      <c r="U8" s="11" t="s">
        <v>53</v>
      </c>
      <c r="V8" s="9" t="n">
        <v>46080.422864444445</v>
      </c>
      <c r="W8" s="2" t="n">
        <v>6.0</v>
      </c>
      <c r="X8" s="2" t="s">
        <v>48</v>
      </c>
      <c r="Y8" s="2" t="s">
        <v>55</v>
      </c>
      <c r="Z8" s="9" t="n">
        <v>46080.42286443287</v>
      </c>
      <c r="AA8" s="2" t="n">
        <v>1.0</v>
      </c>
    </row>
    <row r="9" ht="115.25" customHeight="true">
      <c r="A9" s="8" t="s">
        <v>104</v>
      </c>
      <c r="B9" s="8" t="s">
        <v>106</v>
      </c>
      <c r="C9" s="2" t="s">
        <v>107</v>
      </c>
      <c r="D9" s="2" t="n">
        <v>0.0</v>
      </c>
      <c r="E9" s="9" t="n">
        <v>46077.524347453706</v>
      </c>
      <c r="F9" s="2" t="s">
        <v>46</v>
      </c>
      <c r="G9" s="2" t="s">
        <v>108</v>
      </c>
      <c r="H9" s="9" t="n">
        <v>46080.0</v>
      </c>
      <c r="I9" s="2" t="s">
        <v>48</v>
      </c>
      <c r="J9" s="10" t="n">
        <v>46080.608507337965</v>
      </c>
      <c r="K9" s="2" t="s">
        <v>48</v>
      </c>
      <c r="L9" s="2" t="s">
        <v>69</v>
      </c>
      <c r="M9" s="8" t="s">
        <v>81</v>
      </c>
      <c r="N9" s="2" t="s">
        <v>52</v>
      </c>
      <c r="O9" s="2" t="s">
        <v>46</v>
      </c>
      <c r="P9" s="2" t="s">
        <v>53</v>
      </c>
      <c r="Q9" s="9" t="n">
        <v>46080.42275107639</v>
      </c>
      <c r="R9" s="2" t="s">
        <v>54</v>
      </c>
      <c r="S9" s="9" t="n">
        <v>46078.0</v>
      </c>
      <c r="T9" s="11" t="s">
        <v>53</v>
      </c>
      <c r="U9" s="11" t="s">
        <v>53</v>
      </c>
      <c r="V9" s="9" t="n">
        <v>46080.42275136574</v>
      </c>
      <c r="W9" s="2" t="n">
        <v>2.0</v>
      </c>
      <c r="X9" s="2" t="s">
        <v>48</v>
      </c>
      <c r="Y9" s="2" t="s">
        <v>55</v>
      </c>
      <c r="Z9" s="9" t="n">
        <v>46080.42275135417</v>
      </c>
      <c r="AA9" s="2" t="n">
        <v>1.0</v>
      </c>
    </row>
    <row r="10" ht="259.25" customHeight="true">
      <c r="A10" s="8" t="s">
        <v>110</v>
      </c>
      <c r="B10" s="8" t="s">
        <v>112</v>
      </c>
      <c r="C10" s="2" t="s">
        <v>65</v>
      </c>
      <c r="D10" s="2" t="n">
        <v>1.0</v>
      </c>
      <c r="E10" s="9" t="n">
        <v>46077.506800648145</v>
      </c>
      <c r="F10" s="2" t="s">
        <v>66</v>
      </c>
      <c r="G10" s="2" t="s">
        <v>113</v>
      </c>
      <c r="H10" s="9" t="n">
        <v>46080.0</v>
      </c>
      <c r="I10" s="2" t="s">
        <v>68</v>
      </c>
      <c r="J10" s="10" t="n">
        <v>46080.42251871528</v>
      </c>
      <c r="K10" s="2" t="s">
        <v>48</v>
      </c>
      <c r="L10" s="2" t="s">
        <v>69</v>
      </c>
      <c r="M10" s="8" t="s">
        <v>51</v>
      </c>
      <c r="N10" s="2" t="s">
        <v>52</v>
      </c>
      <c r="O10" s="2" t="s">
        <v>66</v>
      </c>
      <c r="P10" s="2" t="s">
        <v>53</v>
      </c>
      <c r="Q10" s="9" t="n">
        <v>46080.42262871528</v>
      </c>
      <c r="R10" s="2" t="s">
        <v>54</v>
      </c>
      <c r="S10" s="9"/>
      <c r="T10" s="11" t="s">
        <v>53</v>
      </c>
      <c r="U10" s="11" t="s">
        <v>53</v>
      </c>
      <c r="V10" s="9" t="n">
        <v>46080.42262900463</v>
      </c>
      <c r="W10" s="2" t="n">
        <v>3.0</v>
      </c>
      <c r="X10" s="2" t="s">
        <v>114</v>
      </c>
      <c r="Y10" s="2" t="s">
        <v>55</v>
      </c>
      <c r="Z10" s="9" t="n">
        <v>46080.42262899305</v>
      </c>
      <c r="AA10" s="2" t="n">
        <v>2.0</v>
      </c>
    </row>
    <row r="11">
      <c r="A11" s="7" t="s">
        <f>COUNTA(A2:A10)</f>
      </c>
      <c r="B11" s="7"/>
      <c r="C11" s="7"/>
      <c r="D11" s="7"/>
      <c r="E11" s="7"/>
      <c r="F11" s="7"/>
      <c r="G11" s="7"/>
      <c r="H11" s="7"/>
      <c r="I11" s="7"/>
      <c r="J11" s="7"/>
      <c r="K11" s="7"/>
      <c r="L11" s="7"/>
      <c r="M11" s="7"/>
      <c r="N11" s="7"/>
      <c r="O11" s="7"/>
      <c r="P11" s="7"/>
      <c r="Q11" s="7"/>
      <c r="R11" s="7"/>
      <c r="S11" s="7"/>
      <c r="T11" s="7"/>
      <c r="U11" s="7"/>
      <c r="V11" s="7"/>
      <c r="W11" s="7" t="s">
        <f>SUM(W2:W10)</f>
      </c>
      <c r="X11" s="7"/>
      <c r="Y11" s="7"/>
      <c r="Z11" s="7"/>
      <c r="AA11" s="7" t="s">
        <f>SUM(AA2:AA10)</f>
      </c>
    </row>
    <row r="12">
      <c r="A12" s="4" t="s">
        <v>119</v>
      </c>
    </row>
    <row r="13">
      <c r="A13" s="5" t="s">
        <v>120</v>
      </c>
    </row>
  </sheetData>
  <hyperlinks>
    <hyperlink ref="A2" r:id="rId3"/>
    <hyperlink ref="B2" r:id="rId4"/>
    <hyperlink ref="M2" r:id="rId5"/>
    <hyperlink ref="A3" r:id="rId6"/>
    <hyperlink ref="B3" r:id="rId7"/>
    <hyperlink ref="M3" r:id="rId8"/>
    <hyperlink ref="A4" r:id="rId9"/>
    <hyperlink ref="B4" r:id="rId10"/>
    <hyperlink ref="M4" r:id="rId11"/>
    <hyperlink ref="A5" r:id="rId12"/>
    <hyperlink ref="B5" r:id="rId13"/>
    <hyperlink ref="M5" r:id="rId14"/>
    <hyperlink ref="A6" r:id="rId15"/>
    <hyperlink ref="B6" r:id="rId16"/>
    <hyperlink ref="M6" r:id="rId17"/>
    <hyperlink ref="A7" r:id="rId18"/>
    <hyperlink ref="B7" r:id="rId19"/>
    <hyperlink ref="M7" r:id="rId20"/>
    <hyperlink ref="A8" r:id="rId21"/>
    <hyperlink ref="B8" r:id="rId22"/>
    <hyperlink ref="M8" r:id="rId23"/>
    <hyperlink ref="A9" r:id="rId24"/>
    <hyperlink ref="B9" r:id="rId25"/>
    <hyperlink ref="M9" r:id="rId26"/>
    <hyperlink ref="A10" r:id="rId27"/>
    <hyperlink ref="B10" r:id="rId28"/>
    <hyperlink ref="M10" r:id="rId29"/>
    <hyperlink ref="A13" r:id="rId30"/>
  </hyperlinks>
  <pageMargins left="0.7" right="0.7" top="0.75" bottom="0.75" header="0.3" footer="0.3"/>
  <pageSetup orientation="portrait" r:id="rId1"/>
  <headerFooter>
    <oddHeader>&amp;L&amp;"-,Bold"&amp;9Excel (Non-Empty Fields) (Jira)&amp;R&amp;9Created at Sat Feb 28 15:49:41 UTC 2026 by Vatsal Unadkat with Better Excel Exporter for Jira Cloud</oddHeader>
    <oddFooter>&amp;C&amp;9Page &amp;P</oddFooter>
  </headerFooter>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 Navigator</vt:lpstr>
    </vt:vector>
  </TitlesOfParts>
  <Company>Midori Global Consulting Kft.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2014-02-11T09:14:01Z</dcterms:created>
  <dc:creator>Midori Global Consulting Kft.</dc:creator>
  <cp:lastModifiedBy>Midori Global Consulting Kft.</cp:lastModifiedBy>
  <cp:lastPrinted>2014-02-11T12:39:58Z</cp:lastPrinted>
  <dcterms:modified xsi:type="dcterms:W3CDTF">2022-08-30T11:53:35Z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3307a688-cb4e-4216-87a7-59b03a65a31b</vt:lpwstr>
  </property>
</Properties>
</file>